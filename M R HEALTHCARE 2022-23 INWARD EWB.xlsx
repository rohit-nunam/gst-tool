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Desktop\AUDIT 2026-27\AUDIT 2\LARGE\M R HEALTHCARE 05AAECM6380J1ZA\AUDIT 26-27\22-23\EWB\"/>
    </mc:Choice>
  </mc:AlternateContent>
  <xr:revisionPtr revIDLastSave="0" documentId="13_ncr:1_{7CEE64C7-EC4F-4721-938C-B1061379BA15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Sheet1" sheetId="3" r:id="rId1"/>
    <sheet name="merged_sheet_1" sheetId="2" r:id="rId2"/>
  </sheets>
  <definedNames>
    <definedName name="_xlnm._FilterDatabase" localSheetId="1" hidden="1">merged_sheet_1!$A$1:$P$1104</definedName>
  </definedNames>
  <calcPr calcId="191029"/>
  <pivotCaches>
    <pivotCache cacheId="4" r:id="rId3"/>
  </pivotCaches>
</workbook>
</file>

<file path=xl/calcChain.xml><?xml version="1.0" encoding="utf-8"?>
<calcChain xmlns="http://schemas.openxmlformats.org/spreadsheetml/2006/main">
  <c r="J1105" i="2" l="1"/>
  <c r="I1105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2" i="2"/>
</calcChain>
</file>

<file path=xl/sharedStrings.xml><?xml version="1.0" encoding="utf-8"?>
<sst xmlns="http://schemas.openxmlformats.org/spreadsheetml/2006/main" count="9383" uniqueCount="4116">
  <si>
    <t>EWB No.</t>
  </si>
  <si>
    <t>From GSTIN &amp; Name</t>
  </si>
  <si>
    <t>To GSTIN &amp; Name</t>
  </si>
  <si>
    <t>From Place &amp; Pin</t>
  </si>
  <si>
    <t>To Place &amp; Pin</t>
  </si>
  <si>
    <t>EWB No. &amp; Dt.</t>
  </si>
  <si>
    <t>Assess Val.</t>
  </si>
  <si>
    <t>Tax Val.</t>
  </si>
  <si>
    <t>HSN Code</t>
  </si>
  <si>
    <t>HSN Desc.</t>
  </si>
  <si>
    <t>Latest Vehicle No.</t>
  </si>
  <si>
    <t>351569103816</t>
  </si>
  <si>
    <t>06AADCD8661N1Z6 / D S Inks Pvt Ltd</t>
  </si>
  <si>
    <t>05AAECM6380J1ZA / M R Healthcare Pvt Ltd</t>
  </si>
  <si>
    <t>Panchkula / 134109</t>
  </si>
  <si>
    <t>Ramnagar / 244715</t>
  </si>
  <si>
    <t>351569103816 - 04/03/2023 11:43:00</t>
  </si>
  <si>
    <t>HR68C1476</t>
  </si>
  <si>
    <t>321569094863</t>
  </si>
  <si>
    <t>06AADCD8661N1Z6 / D.S. INKS PRIVATE LIMITED</t>
  </si>
  <si>
    <t>05AAECM6380J1ZA / M/S M R HealthCare Pvt. Ltd.</t>
  </si>
  <si>
    <t>Panchkula / 134116</t>
  </si>
  <si>
    <t>RAMNAGAR / 244715</t>
  </si>
  <si>
    <t>321569094863 - 04/03/2023 11:30:00</t>
  </si>
  <si>
    <t>371568636096</t>
  </si>
  <si>
    <t>05AABCA8568R1ZZ / ABS Mercantiles Pvt. Ltd.</t>
  </si>
  <si>
    <t>05AAECM6380J1ZA / M.R. HEALTHCARE PVT. LTD.</t>
  </si>
  <si>
    <t>UTTARAKHAND / 247667</t>
  </si>
  <si>
    <t>Ram Nagar / 244715</t>
  </si>
  <si>
    <t>371568636096 - 04/03/2023 00:13:00</t>
  </si>
  <si>
    <t>29420090</t>
  </si>
  <si>
    <t>Itraconazole Pellets 22% BP</t>
  </si>
  <si>
    <t>UK18TA0659</t>
  </si>
  <si>
    <t>341580565708</t>
  </si>
  <si>
    <t>341580565708 - 30/03/2023 22:12:00</t>
  </si>
  <si>
    <t>Pantoprazole EC 40 mg + Domperidone SR 30 mg Pellets IP</t>
  </si>
  <si>
    <t>UK18CA3698</t>
  </si>
  <si>
    <t>301577036596</t>
  </si>
  <si>
    <t>05AASCA1024D1Z6 / AJANTA BOTTLE PRIVATE LIMITED</t>
  </si>
  <si>
    <t>Roorkee / 247667</t>
  </si>
  <si>
    <t>301577036596 - 23/03/2023 22:58:00</t>
  </si>
  <si>
    <t>30 ML STERILE WATER FOR INJ (AFFY)</t>
  </si>
  <si>
    <t>311577137339</t>
  </si>
  <si>
    <t>05AALFN9057F1Z1 / NAVKAAR ENTERPRISES</t>
  </si>
  <si>
    <t>UTTARAKHAND / 249402</t>
  </si>
  <si>
    <t>244715 / 244715</t>
  </si>
  <si>
    <t>311577137339 - 23/03/2023 20:24:00</t>
  </si>
  <si>
    <t>C*PHARMMANNIDEX 16700 MANNITOL POWDER</t>
  </si>
  <si>
    <t>371576729081</t>
  </si>
  <si>
    <t>05ACPFS1430H1Z7 / M/S SWASTIK ART CREATIONS</t>
  </si>
  <si>
    <t>Haridwar / 247667</t>
  </si>
  <si>
    <t>371576729081 - 23/03/2023 00:55:00</t>
  </si>
  <si>
    <t>CARTONS</t>
  </si>
  <si>
    <t>UA04A7926</t>
  </si>
  <si>
    <t>301575670594</t>
  </si>
  <si>
    <t>05ANTPS9188H1Z0 / G K PHARMA</t>
  </si>
  <si>
    <t>05AAECM6380J1ZA / MR HEALTHCARE PVT LTD</t>
  </si>
  <si>
    <t>ROORKEE / 247667</t>
  </si>
  <si>
    <t>301575670594 - 20/03/2023 23:54:00</t>
  </si>
  <si>
    <t>UK17CA4306</t>
  </si>
  <si>
    <t>301573998782</t>
  </si>
  <si>
    <t>05ADVFS5795G1Z9 / Shri Krishna Polymer</t>
  </si>
  <si>
    <t>05AAECM6380J1ZA / M,R HEALTHCARE PVT LTD</t>
  </si>
  <si>
    <t>301573998782 - 16/03/2023 18:01:00</t>
  </si>
  <si>
    <t>METTALISED PVC SILVER</t>
  </si>
  <si>
    <t>371573378167</t>
  </si>
  <si>
    <t>06AAACM6962E1ZJ / MAHIMA LIFE SCIENCES PRIVATE LIMITED</t>
  </si>
  <si>
    <t>05AAECM6380J1ZA / M.R.Healthcare - Nainital</t>
  </si>
  <si>
    <t>Sonipat / 131101</t>
  </si>
  <si>
    <t>Nainital / 244715</t>
  </si>
  <si>
    <t>371573378167 - 15/03/2023 16:00:00</t>
  </si>
  <si>
    <t>DEFLAZACORT</t>
  </si>
  <si>
    <t>UP14JT7811</t>
  </si>
  <si>
    <t>321572434704</t>
  </si>
  <si>
    <t>05AAJFB5728K1ZA / M/S BLIZE PRINTERS</t>
  </si>
  <si>
    <t>321572434704 - 14/03/2023 00:30:00</t>
  </si>
  <si>
    <t>KRIGORAY GEL 20G</t>
  </si>
  <si>
    <t>351572456963</t>
  </si>
  <si>
    <t>05AABFO5340E1ZQ / OM SAI PHARMA PACK</t>
  </si>
  <si>
    <t>Uttarakhand / 249403</t>
  </si>
  <si>
    <t>NAINITAL / 244715</t>
  </si>
  <si>
    <t>351572456963 - 13/03/2023 20:08:00</t>
  </si>
  <si>
    <t>LAMITUBE LUZILOL 20GM</t>
  </si>
  <si>
    <t>301571460069</t>
  </si>
  <si>
    <t>06AYEPS2518M1Z4 / FORTUNE SOURCING</t>
  </si>
  <si>
    <t>GURGAON / 122001</t>
  </si>
  <si>
    <t>301571460069 - 11/03/2023 09:27:00</t>
  </si>
  <si>
    <t>LAMI TUBE LAMI TUBE</t>
  </si>
  <si>
    <t>371570845143</t>
  </si>
  <si>
    <t>05ABSFA7387F1Z0 / AASTHA MEDI SOLUTIONS</t>
  </si>
  <si>
    <t>371570845143 - 09/03/2023 17:40:00</t>
  </si>
  <si>
    <t>PRINTED ROLLER</t>
  </si>
  <si>
    <t>UK17CA4322</t>
  </si>
  <si>
    <t>311570082771</t>
  </si>
  <si>
    <t>05AAJFB5728K1ZA / Blize Printers (2022-23)</t>
  </si>
  <si>
    <t>BHAGWANPUR / 247661</t>
  </si>
  <si>
    <t>311570082771 - 07/03/2023 00:35:00</t>
  </si>
  <si>
    <t>Carton</t>
  </si>
  <si>
    <t>UK18CA4767</t>
  </si>
  <si>
    <t>301568709029</t>
  </si>
  <si>
    <t>301568709029 - 04/03/2023 00:13:00</t>
  </si>
  <si>
    <t>301568374319</t>
  </si>
  <si>
    <t>301568374319 - 02/03/2023 18:02:00</t>
  </si>
  <si>
    <t>0.25X208MM AMBER PVC FILM</t>
  </si>
  <si>
    <t>UK17CA4642</t>
  </si>
  <si>
    <t>381581091527</t>
  </si>
  <si>
    <t>381581091527 - 31/03/2023 23:34:00</t>
  </si>
  <si>
    <t>UK17CA4303</t>
  </si>
  <si>
    <t>361581092087</t>
  </si>
  <si>
    <t>361581092087 - 31/03/2023 23:34:00</t>
  </si>
  <si>
    <t>301580071315</t>
  </si>
  <si>
    <t>05ACYFS8084Q1ZR / S.S. PRINT PACK</t>
  </si>
  <si>
    <t>Dehradun / 248011</t>
  </si>
  <si>
    <t>301580071315 - 29/03/2023 18:56:00</t>
  </si>
  <si>
    <t>UK16CA0906</t>
  </si>
  <si>
    <t>391578766363</t>
  </si>
  <si>
    <t>05AAACY8180G1Z7 / YURVIE PACKAGING PRIVATE LIMITED</t>
  </si>
  <si>
    <t>391578766363 - 28/03/2023 22:22:00</t>
  </si>
  <si>
    <t>LAMI TUBE</t>
  </si>
  <si>
    <t>361578975423</t>
  </si>
  <si>
    <t>361578975423 - 28/03/2023 22:22:00</t>
  </si>
  <si>
    <t>341579495461</t>
  </si>
  <si>
    <t>341579495461 - 28/03/2023 22:22:00</t>
  </si>
  <si>
    <t>301579392975</t>
  </si>
  <si>
    <t>05BTNPD9977N2ZP / MUDRA PRESS</t>
  </si>
  <si>
    <t>Dehradun / 248001</t>
  </si>
  <si>
    <t>301579392975 - 28/03/2023 19:11:00</t>
  </si>
  <si>
    <t>361578962876</t>
  </si>
  <si>
    <t>361578962876 - 27/03/2023 18:07:00</t>
  </si>
  <si>
    <t>341578959872</t>
  </si>
  <si>
    <t>341578959872 - 27/03/2023 18:04:00</t>
  </si>
  <si>
    <t>PRINTED ALUMINIUM FOIL</t>
  </si>
  <si>
    <t>301578492429</t>
  </si>
  <si>
    <t>05ABAPK2139D1ZB / MOHIT TRADERS(22-23)</t>
  </si>
  <si>
    <t>05AAECM6380J1ZA / M R HEALTHCARE PVT LTD</t>
  </si>
  <si>
    <t>Jawalapur / 249407</t>
  </si>
  <si>
    <t>KASHIPUR / 244715</t>
  </si>
  <si>
    <t>301578492429 - 26/03/2023 15:40:00</t>
  </si>
  <si>
    <t>Sugar</t>
  </si>
  <si>
    <t>UP37T7475</t>
  </si>
  <si>
    <t>311577775410</t>
  </si>
  <si>
    <t>311577775410 - 24/03/2023 23:10:00</t>
  </si>
  <si>
    <t>341577291720</t>
  </si>
  <si>
    <t>341577291720 - 23/03/2023 22:58:00</t>
  </si>
  <si>
    <t>381577290279</t>
  </si>
  <si>
    <t>05ABIPT0216G1ZY / M/S Gautam Minirals Chemicals</t>
  </si>
  <si>
    <t>Pantnagar / 263153</t>
  </si>
  <si>
    <t>381577290279 - 23/03/2023 19:34:00</t>
  </si>
  <si>
    <t>UP22T6779</t>
  </si>
  <si>
    <t>331577161967</t>
  </si>
  <si>
    <t>05AAGFH2542C1ZY / HIMALAYAN CAPSCON INDUSTRIES</t>
  </si>
  <si>
    <t>Selaqui / 248011</t>
  </si>
  <si>
    <t>331577161967 - 23/03/2023 16:51:00</t>
  </si>
  <si>
    <t>HDPE 30ml DSB 8.25Gm (25MM)</t>
  </si>
  <si>
    <t>361576990093</t>
  </si>
  <si>
    <t>05AAQCS5989R1ZZ / M/S SATYAM SHIVAM PACKAGING PRIVATE LIMITED</t>
  </si>
  <si>
    <t>Udham Singh Nagar / 263153</t>
  </si>
  <si>
    <t>361576990093 - 23/03/2023 12:47:00</t>
  </si>
  <si>
    <t>475X410X560(5 PLY C BOX)</t>
  </si>
  <si>
    <t>UK06CB0108</t>
  </si>
  <si>
    <t>301576445454</t>
  </si>
  <si>
    <t>05ABNPA6018N2ZK / Manish Pharma</t>
  </si>
  <si>
    <t>KOSI ROAD,RAMNAGAR / 244715</t>
  </si>
  <si>
    <t>301576445454 - 23/03/2023 00:55:00</t>
  </si>
  <si>
    <t>PARACETAMOL IP (MAKE:-FARMSON)</t>
  </si>
  <si>
    <t>381576598497</t>
  </si>
  <si>
    <t>05AAFCH1159K1ZL / HARIDWAR FOILS PRIVATE LIMITED</t>
  </si>
  <si>
    <t>Haridwar / 249402</t>
  </si>
  <si>
    <t>381576598497 - 22/03/2023 20:11:00</t>
  </si>
  <si>
    <t>BLISTER</t>
  </si>
  <si>
    <t>371575378897</t>
  </si>
  <si>
    <t>05CZDPK6274J1Z4 / Essential Graphics Industries</t>
  </si>
  <si>
    <t>ROORKEE / 247668</t>
  </si>
  <si>
    <t>371575378897 - 21/03/2023 23:10:00</t>
  </si>
  <si>
    <t>Label</t>
  </si>
  <si>
    <t>381576194745</t>
  </si>
  <si>
    <t>381576194745 - 21/03/2023 18:24:00</t>
  </si>
  <si>
    <t>381575627507</t>
  </si>
  <si>
    <t>05AASFR5565R1Z4 / M/S ROORKEE FOIL</t>
  </si>
  <si>
    <t>381575627507 - 20/03/2023 23:54:00</t>
  </si>
  <si>
    <t>BLISTER FOIL PRINTED</t>
  </si>
  <si>
    <t>361575452271</t>
  </si>
  <si>
    <t>05ALGPC9789H1ZQ / OM PHARMACEUTICALS</t>
  </si>
  <si>
    <t>361575452271 - 20/03/2023 20:12:00</t>
  </si>
  <si>
    <t>ASPARTAME POWDER</t>
  </si>
  <si>
    <t>331575665771</t>
  </si>
  <si>
    <t>05AAUCS2953B1ZA / VIVA PACK PVT. LTD.</t>
  </si>
  <si>
    <t>05AAECM6380J1ZA / M.R HEALTHCARE PVT LTD.</t>
  </si>
  <si>
    <t>UTTARAKHAND / 244715</t>
  </si>
  <si>
    <t>331575665771 - 20/03/2023 18:00:00</t>
  </si>
  <si>
    <t>PET BOTTLES 100ML12.5GM RD AMB 720</t>
  </si>
  <si>
    <t>391574833405</t>
  </si>
  <si>
    <t>05ABAFR8373C1ZB / RADIANT PRINTO PACK</t>
  </si>
  <si>
    <t>Haridwar / 247666</t>
  </si>
  <si>
    <t>391574833405 - 19/03/2023 17:27:00</t>
  </si>
  <si>
    <t>UK17CA4358</t>
  </si>
  <si>
    <t>351573896986</t>
  </si>
  <si>
    <t>05AAKFV1624K1Z2 / M/S VYALI INTERNATIONAL</t>
  </si>
  <si>
    <t>351573896986 - 16/03/2023 22:36:00</t>
  </si>
  <si>
    <t>H L MEDICINE</t>
  </si>
  <si>
    <t>HR38AB4032</t>
  </si>
  <si>
    <t>361573784121</t>
  </si>
  <si>
    <t>06AABCF5740N1ZG / Alutech Packaging Private Limited</t>
  </si>
  <si>
    <t>Bahadurgarh / 124507</t>
  </si>
  <si>
    <t>NANITAL / 244715</t>
  </si>
  <si>
    <t>361573784121 - 16/03/2023 13:11:00</t>
  </si>
  <si>
    <t>Aluminium Foil</t>
  </si>
  <si>
    <t>391573274548</t>
  </si>
  <si>
    <t>05AAKFV1624K1Z2 / VYALI INTERNATIONAL</t>
  </si>
  <si>
    <t>05AAECM6380J1ZA / M.R HEALTHCARE PVT LTD KASHIPUR</t>
  </si>
  <si>
    <t>391573274548 - 16/03/2023 00:08:00</t>
  </si>
  <si>
    <t>301573250611</t>
  </si>
  <si>
    <t>05AAACK3774G1ZN / KESHAV HICHEM PRIVATE LIMITED-HARIDWAR</t>
  </si>
  <si>
    <t>HARIDWAR / 249408</t>
  </si>
  <si>
    <t>RAMNAGARKASHIPUR / 244715</t>
  </si>
  <si>
    <t>301573250611 - 15/03/2023 12:43:00</t>
  </si>
  <si>
    <t>POLY MEG-6000</t>
  </si>
  <si>
    <t>361573206414</t>
  </si>
  <si>
    <t>361573206414 - 15/03/2023 11:38:00</t>
  </si>
  <si>
    <t>361573019193</t>
  </si>
  <si>
    <t>361573019193 - 15/03/2023 00:41:00</t>
  </si>
  <si>
    <t>361572429223</t>
  </si>
  <si>
    <t>05FYDPS0716P2ZZ / Pharma Pack</t>
  </si>
  <si>
    <t>05AAECM6380J1ZA / M.R. Healthcare Pvt Ltd</t>
  </si>
  <si>
    <t>Roorkee / 247661</t>
  </si>
  <si>
    <t>361572429223 - 14/03/2023 00:30:00</t>
  </si>
  <si>
    <t>ALUMINIUM PLAIN FOIL</t>
  </si>
  <si>
    <t>331572207732</t>
  </si>
  <si>
    <t>331572207732 - 13/03/2023 20:08:00</t>
  </si>
  <si>
    <t>CROSSPOVIDONE XL10</t>
  </si>
  <si>
    <t>391572402182</t>
  </si>
  <si>
    <t>03AACCI1225J1Z2 / INFINITY LABORATORIES PVT LTD</t>
  </si>
  <si>
    <t>DERA BASSI / 140507</t>
  </si>
  <si>
    <t>391572402182 - 13/03/2023 17:03:00</t>
  </si>
  <si>
    <t>NORFLOXACIN IP</t>
  </si>
  <si>
    <t>PB65AZ5793</t>
  </si>
  <si>
    <t>361571060755</t>
  </si>
  <si>
    <t>361571060755 - 10/03/2023 23:35:00</t>
  </si>
  <si>
    <t>331571232243</t>
  </si>
  <si>
    <t>Gurugram / 122001</t>
  </si>
  <si>
    <t>331571232243 - 10/03/2023 22:31:00</t>
  </si>
  <si>
    <t>331570802542</t>
  </si>
  <si>
    <t>331570802542 - 09/03/2023 21:52:00</t>
  </si>
  <si>
    <t>PARACETAMOL IP (MEGHMANI)</t>
  </si>
  <si>
    <t>341570843560</t>
  </si>
  <si>
    <t>341570843560 - 09/03/2023 17:37:00</t>
  </si>
  <si>
    <t>301569524690</t>
  </si>
  <si>
    <t>301569524690 - 05/03/2023 10:47:00</t>
  </si>
  <si>
    <t>250X220X230(5 PLY C BOX)</t>
  </si>
  <si>
    <t>391568330392</t>
  </si>
  <si>
    <t>391568330392 - 02/03/2023 22:35:00</t>
  </si>
  <si>
    <t>UP16FT0269</t>
  </si>
  <si>
    <t>341567224934</t>
  </si>
  <si>
    <t>341567224934 - 01/03/2023 02:02:00</t>
  </si>
  <si>
    <t>361579871159</t>
  </si>
  <si>
    <t>361579871159 - 30/03/2023 22:12:00</t>
  </si>
  <si>
    <t>391578977431</t>
  </si>
  <si>
    <t>391578977431 - 28/03/2023 22:22:00</t>
  </si>
  <si>
    <t>381580395491</t>
  </si>
  <si>
    <t>381580395491 - 30/03/2023 22:12:00</t>
  </si>
  <si>
    <t>CHLORZOXAZONE USP (MAKE-SARA)</t>
  </si>
  <si>
    <t>331580518910</t>
  </si>
  <si>
    <t>331580518910 - 30/03/2023 21:46:00</t>
  </si>
  <si>
    <t>371578971411</t>
  </si>
  <si>
    <t>371578971411 - 28/03/2023 22:22:00</t>
  </si>
  <si>
    <t>TRANEXAMIC ACID (SHILPA PHARMA)</t>
  </si>
  <si>
    <t>381579940822</t>
  </si>
  <si>
    <t>381579940822 - 30/03/2023 22:12:00</t>
  </si>
  <si>
    <t>381580084557</t>
  </si>
  <si>
    <t>05ABEFS5359M1ZP / S S Industries</t>
  </si>
  <si>
    <t>05AAECM6380J1ZA / M.R. Healthcare Pvt. Ltd.</t>
  </si>
  <si>
    <t>Selaqui, Dehradun / 248011</t>
  </si>
  <si>
    <t>Kashipur Road,Ramnagar / 244715</t>
  </si>
  <si>
    <t>381580084557 - 29/03/2023 19:20:00</t>
  </si>
  <si>
    <t>Noraday - Tz NF 20x10 Tab Carton</t>
  </si>
  <si>
    <t>UK06CB7619</t>
  </si>
  <si>
    <t>281560591221</t>
  </si>
  <si>
    <t>27AAACH8217P1Z5 / HEER PHARMA PVT LTD</t>
  </si>
  <si>
    <t>Mumbai / 400025</t>
  </si>
  <si>
    <t>281560591221 - 17/03/2023 16:02:00</t>
  </si>
  <si>
    <t>UK18CA4773</t>
  </si>
  <si>
    <t>281561292084</t>
  </si>
  <si>
    <t>27AASCA9722G1Z9 / AARTI PHARMALABS LIMITED</t>
  </si>
  <si>
    <t>05AAECM6380J1ZA / Ajanta Pharma Limited</t>
  </si>
  <si>
    <t>Maharashtra / 401506</t>
  </si>
  <si>
    <t>Uttarakhand / 244715</t>
  </si>
  <si>
    <t>281561292084 - 13/03/2023 16:17:00</t>
  </si>
  <si>
    <t>Ramipril</t>
  </si>
  <si>
    <t>UK19CA0142</t>
  </si>
  <si>
    <t>201568902827</t>
  </si>
  <si>
    <t>27AABFF5289R1ZM / FARMA FUSION</t>
  </si>
  <si>
    <t>05AAECM6380J1ZA / M R HEALTHCARE PRIVATE LIMITED</t>
  </si>
  <si>
    <t>BHIWANDI / 421302</t>
  </si>
  <si>
    <t>201568902827 - 31/03/2023 14:18:00</t>
  </si>
  <si>
    <t>291569361152</t>
  </si>
  <si>
    <t>27AAXFP8362R1ZU / PHARMACARE INTERNATIONAL</t>
  </si>
  <si>
    <t>05AAECM6380J1ZA / M.R.HEALTHCARE PVT.LTD</t>
  </si>
  <si>
    <t>PANCHAKULA / 133302</t>
  </si>
  <si>
    <t>DIST NAINITAL / 244715</t>
  </si>
  <si>
    <t>291569361152 - 29/03/2023 17:13:00</t>
  </si>
  <si>
    <t>AMOXYCILLIN TRIHYDRATE</t>
  </si>
  <si>
    <t>UK04CB9936</t>
  </si>
  <si>
    <t>261568628145</t>
  </si>
  <si>
    <t>27AAACG1864F1ZS / G.C.Chemie Pharmie Ltd.</t>
  </si>
  <si>
    <t>05AAECM6380J1ZA / M.R Healthcare Pvt. Ltd</t>
  </si>
  <si>
    <t>BHIWANDI,DIST-THANE / 421302</t>
  </si>
  <si>
    <t>261568628145 - 28/03/2023 14:03:00</t>
  </si>
  <si>
    <t>AZITHROMYCIN</t>
  </si>
  <si>
    <t>281566874001</t>
  </si>
  <si>
    <t>27AAFPP9715L1Z4 / ATMAN PHARMACEUTICALS</t>
  </si>
  <si>
    <t>05AAECM6380J1ZA / M.R.HEALTHCARE PVT. LTD.</t>
  </si>
  <si>
    <t>DIST THANE / 421302</t>
  </si>
  <si>
    <t>281566874001 - 26/03/2023 14:56:00</t>
  </si>
  <si>
    <t>PYRANTEL PAMOATE USP</t>
  </si>
  <si>
    <t>241565150562</t>
  </si>
  <si>
    <t>27AAFCS9959Q1Z4 / SNEHA MEDICARE PVT LTD</t>
  </si>
  <si>
    <t>05AAECM6380J1ZA / MR HEALTHCARE PVTLTD</t>
  </si>
  <si>
    <t>DISTNAINITAL, / 244715</t>
  </si>
  <si>
    <t>241565150562 - 24/03/2023 10:06:00</t>
  </si>
  <si>
    <t>DL01GC8967</t>
  </si>
  <si>
    <t>291564535260</t>
  </si>
  <si>
    <t>27AVCPS6991D1Z6 / VENUS MARKETING</t>
  </si>
  <si>
    <t>291564535260 - 23/03/2023 17:39:00</t>
  </si>
  <si>
    <t>UK06CB5911</t>
  </si>
  <si>
    <t>271563996686</t>
  </si>
  <si>
    <t>27AICPM2590B1ZJ / SADHANA ENTERPRISES</t>
  </si>
  <si>
    <t>THANE Z5 / 421302</t>
  </si>
  <si>
    <t>271563996686 - 22/03/2023 12:47:00</t>
  </si>
  <si>
    <t>NAPROXEN SODIUM BP/USP</t>
  </si>
  <si>
    <t>261563990937</t>
  </si>
  <si>
    <t>27AAAFA2049R1Z8 / APEX DISTRIBUTORS</t>
  </si>
  <si>
    <t>05AAECM6380J1ZA / M.R.HEALTHCARE PVT.LTD.,</t>
  </si>
  <si>
    <t>RAMNAGAR- / 244715</t>
  </si>
  <si>
    <t>261563990937 - 21/03/2023 15:51:00</t>
  </si>
  <si>
    <t>AMLODIPINE BESYLATE"</t>
  </si>
  <si>
    <t>211564065338</t>
  </si>
  <si>
    <t>27AAEPM1479M1Z9 / MONARCH PHARMACHEM</t>
  </si>
  <si>
    <t>211564065338 - 21/03/2023 15:51:00</t>
  </si>
  <si>
    <t>SILDENAFIL CITRATE IP</t>
  </si>
  <si>
    <t>271563530707</t>
  </si>
  <si>
    <t>27AADCE0854E1ZX / EPIONE PHARMACEUTICALS PRIVATE LIMITED, pune</t>
  </si>
  <si>
    <t>pune / 412308</t>
  </si>
  <si>
    <t>271563530707 - 17/03/2023 22:19:00</t>
  </si>
  <si>
    <t>UK18CA4460</t>
  </si>
  <si>
    <t>221562355557</t>
  </si>
  <si>
    <t>27AADCV0444P1ZZ / VIRAJ PHARMACEUTICALS PVTLTD</t>
  </si>
  <si>
    <t>05AAECM6380J1ZA / M R HEALTHCARE PVTLTD</t>
  </si>
  <si>
    <t>Bhiwandi / 421302</t>
  </si>
  <si>
    <t>DIST-NAINITAL / 244715</t>
  </si>
  <si>
    <t>221562355557 - 17/03/2023 16:16:00</t>
  </si>
  <si>
    <t>241561178357</t>
  </si>
  <si>
    <t>27AAAFH4055N1Z7 / HARESH CHEMICALS, PURNA VILLAGE, BHIWANDI</t>
  </si>
  <si>
    <t>PURNA VILLAGE, BHIWANDI / 421302</t>
  </si>
  <si>
    <t>RAMNAGAR DIST NAINITAL / 244715</t>
  </si>
  <si>
    <t>241561178357 - 17/03/2023 16:02:00</t>
  </si>
  <si>
    <t>H.L. MEDICINE</t>
  </si>
  <si>
    <t>291561145202</t>
  </si>
  <si>
    <t>291561145202 - 15/03/2023 15:56:00</t>
  </si>
  <si>
    <t>DL01GE1428</t>
  </si>
  <si>
    <t>221560233271</t>
  </si>
  <si>
    <t>221560233271 - 11/03/2023 17:09:00</t>
  </si>
  <si>
    <t>HR55Y7458</t>
  </si>
  <si>
    <t>261558523467</t>
  </si>
  <si>
    <t>27AACCG4948E1ZL / GENERAL IMPORT COMPANY (INDIA) PRIVATE LIMITED, BHIWANDI</t>
  </si>
  <si>
    <t>261558523467 - 10/03/2023 18:24:00</t>
  </si>
  <si>
    <t>IP</t>
  </si>
  <si>
    <t>251558295310</t>
  </si>
  <si>
    <t>251558295310 - 10/03/2023 18:24:00</t>
  </si>
  <si>
    <t>201558295063</t>
  </si>
  <si>
    <t>201558295063 - 08/03/2023 17:39:00</t>
  </si>
  <si>
    <t>271556825157</t>
  </si>
  <si>
    <t>27AAAFP8067G1Z2 / PIOMA CHEMICALS</t>
  </si>
  <si>
    <t>THANE / 421302</t>
  </si>
  <si>
    <t>271556825157 - 03/03/2023 17:37:00</t>
  </si>
  <si>
    <t>121620718172</t>
  </si>
  <si>
    <t>29ABDCS6552L1ZR / Shilpa Pharma Lifesciences Ltd</t>
  </si>
  <si>
    <t>05AAECM6380J1ZA / M.R.HEALTHCARE PVT LTD</t>
  </si>
  <si>
    <t>Devasugur,Raichur / 584170</t>
  </si>
  <si>
    <t>RAM NAGAR / 244715</t>
  </si>
  <si>
    <t>121620718172 - 31/03/2023 19:24:00</t>
  </si>
  <si>
    <t>URSODEOXYCHOLIC ACID (UDCA)</t>
  </si>
  <si>
    <t>181615343817</t>
  </si>
  <si>
    <t>36AAXCS6346M1ZC / SANZYME BIOLOGICS PRIVATE LIMITED</t>
  </si>
  <si>
    <t>KARKAPATLA , SIDDIPETDIST., / 502281</t>
  </si>
  <si>
    <t>181615343817 - 19/03/2023 03:42:00</t>
  </si>
  <si>
    <t>Lactic Acid Bacillus (L) 100 Billion CFU/g</t>
  </si>
  <si>
    <t>UK06CB5878</t>
  </si>
  <si>
    <t>171612396853</t>
  </si>
  <si>
    <t>KARAKAPATLA SIDDIPET / 502281</t>
  </si>
  <si>
    <t>Vill.Tanda Mallu,Kashipur Road, Ramnagar ,NAINITAL / 244715</t>
  </si>
  <si>
    <t>171612396853 - 14/03/2023 03:50:00</t>
  </si>
  <si>
    <t>Lactic Acid Bacillus (MT) 15 Billion CFU/g</t>
  </si>
  <si>
    <t>UK18CA4837</t>
  </si>
  <si>
    <t>391441939386</t>
  </si>
  <si>
    <t>05AAJFB5728K1ZA / Blize Printers 2022-23</t>
  </si>
  <si>
    <t>/ 247661</t>
  </si>
  <si>
    <t>/ 244715</t>
  </si>
  <si>
    <t>391441939386 - 30/04/2022 21:57:00</t>
  </si>
  <si>
    <t>341441495557</t>
  </si>
  <si>
    <t>05AAHFI1252P1Z8 / IATRIC BIO SCIENCES LLP</t>
  </si>
  <si>
    <t>341441495557 - 29/04/2022 23:11:00</t>
  </si>
  <si>
    <t>VITAMIN D3 STABILIZED 500000 IU/GM(29362800)STABICO</t>
  </si>
  <si>
    <t>uk17ca4358</t>
  </si>
  <si>
    <t>351441450210</t>
  </si>
  <si>
    <t>351441450210 - 29/04/2022 23:11:00</t>
  </si>
  <si>
    <t>351441025245</t>
  </si>
  <si>
    <t>351441025245 - 28/04/2022 17:38:00</t>
  </si>
  <si>
    <t>PET BOTTLES 60 ML10 GM RD AMB 936</t>
  </si>
  <si>
    <t>341440078883</t>
  </si>
  <si>
    <t>02AKAPC8938R1ZU / COAT AND COAT PHARMACARE</t>
  </si>
  <si>
    <t>Solan / 173205</t>
  </si>
  <si>
    <t>341440078883 - 26/04/2022 17:49:00</t>
  </si>
  <si>
    <t>TABLET COATING MATERIAL</t>
  </si>
  <si>
    <t>uk06cb8289</t>
  </si>
  <si>
    <t>321439657501</t>
  </si>
  <si>
    <t>321439657501 - 25/04/2022 23:51:00</t>
  </si>
  <si>
    <t>351439113057</t>
  </si>
  <si>
    <t>351439113057 - 23/04/2022 17:42:00</t>
  </si>
  <si>
    <t>PRINTED CYLINDER</t>
  </si>
  <si>
    <t>391439108815</t>
  </si>
  <si>
    <t>391439108815 - 23/04/2022 17:35:00</t>
  </si>
  <si>
    <t>ALUMINIUM PRINTED FOIL</t>
  </si>
  <si>
    <t>301438144235</t>
  </si>
  <si>
    <t>05ADVFS5795G1Z9 / SHRI KRISHNA POLYMER</t>
  </si>
  <si>
    <t>301438144235 - 21/04/2022 22:36:00</t>
  </si>
  <si>
    <t>PVC FILM</t>
  </si>
  <si>
    <t>301438118636</t>
  </si>
  <si>
    <t>301438118636 - 21/04/2022 20:15:00</t>
  </si>
  <si>
    <t>PVPK30</t>
  </si>
  <si>
    <t>321438192649</t>
  </si>
  <si>
    <t>321438192649 - 21/04/2022 19:13:00</t>
  </si>
  <si>
    <t>UK06CA1492</t>
  </si>
  <si>
    <t>341437293770</t>
  </si>
  <si>
    <t>05KBGPS5273E1ZC / SUNDERAM PACKAGING</t>
  </si>
  <si>
    <t>341437293770 - 20/04/2022 06:58:00</t>
  </si>
  <si>
    <t>FOIL</t>
  </si>
  <si>
    <t>UK06CB1942</t>
  </si>
  <si>
    <t>341437236829</t>
  </si>
  <si>
    <t>341437236829 - 19/04/2022 23:45:00</t>
  </si>
  <si>
    <t>391436389851</t>
  </si>
  <si>
    <t>391436389851 - 17/04/2022 06:52:00</t>
  </si>
  <si>
    <t>391434697446</t>
  </si>
  <si>
    <t>391434697446 - 12/04/2022 23:11:00</t>
  </si>
  <si>
    <t>381434364154</t>
  </si>
  <si>
    <t>05AAHCT0752E1ZN / Tiwari Pharma Pvt. Ltd.</t>
  </si>
  <si>
    <t>Bahadrabad / 249402</t>
  </si>
  <si>
    <t>381434364154 - 11/04/2022 18:21:00</t>
  </si>
  <si>
    <t>Primojel-Sodium Starch Glycolate Usp-Nf</t>
  </si>
  <si>
    <t>UK18CA6566</t>
  </si>
  <si>
    <t>371432861021</t>
  </si>
  <si>
    <t>371432861021 - 08/04/2022 00:34:00</t>
  </si>
  <si>
    <t>321432051739</t>
  </si>
  <si>
    <t>321432051739 - 06/04/2022 00:33:00</t>
  </si>
  <si>
    <t>371432051338</t>
  </si>
  <si>
    <t>371432051338 - 05/04/2022 22:49:00</t>
  </si>
  <si>
    <t>371431651410</t>
  </si>
  <si>
    <t>05AAJFB5728K1ZA / Blize Printer 2022-23</t>
  </si>
  <si>
    <t>371431651410 - 04/04/2022 23:26:00</t>
  </si>
  <si>
    <t>311429794576</t>
  </si>
  <si>
    <t>311429794576 - 01/04/2022 00:12:00</t>
  </si>
  <si>
    <t>UK06CB1747</t>
  </si>
  <si>
    <t>361441017724</t>
  </si>
  <si>
    <t>05FYDPS0716P2ZZ / PHARMA PACK</t>
  </si>
  <si>
    <t>361441017724 - 28/04/2022 22:25:00</t>
  </si>
  <si>
    <t>PACKING MATERIAL</t>
  </si>
  <si>
    <t>361440086741</t>
  </si>
  <si>
    <t>361440086741 - 26/04/2022 23:30:00</t>
  </si>
  <si>
    <t>UK17CA1878</t>
  </si>
  <si>
    <t>301439951999</t>
  </si>
  <si>
    <t>301439951999 - 26/04/2022 12:57:00</t>
  </si>
  <si>
    <t>HPMC E15 USP 30</t>
  </si>
  <si>
    <t>UK08CB0245</t>
  </si>
  <si>
    <t>311439875944</t>
  </si>
  <si>
    <t>311439875944 - 26/04/2022 10:41:00</t>
  </si>
  <si>
    <t>CROSS CARMELOSE SODIUM BP USP</t>
  </si>
  <si>
    <t>331437992043</t>
  </si>
  <si>
    <t>331437992043 - 21/04/2022 10:47:00</t>
  </si>
  <si>
    <t>301437984801</t>
  </si>
  <si>
    <t>301437984801 - 21/04/2022 10:30:00</t>
  </si>
  <si>
    <t>321437774675</t>
  </si>
  <si>
    <t>321437774675 - 20/04/2022 23:03:00</t>
  </si>
  <si>
    <t>351436372693</t>
  </si>
  <si>
    <t>351436372693 - 16/04/2022 23:49:00</t>
  </si>
  <si>
    <t>391435468601</t>
  </si>
  <si>
    <t>391435468601 - 15/04/2022 10:24:00</t>
  </si>
  <si>
    <t>UK04CA9162</t>
  </si>
  <si>
    <t>351435533473</t>
  </si>
  <si>
    <t>351435533473 - 14/04/2022 23:39:00</t>
  </si>
  <si>
    <t>361435661595</t>
  </si>
  <si>
    <t>Nainital / 263139</t>
  </si>
  <si>
    <t>361435661595 - 14/04/2022 20:13:00</t>
  </si>
  <si>
    <t>UK06CA9510</t>
  </si>
  <si>
    <t>311435251320</t>
  </si>
  <si>
    <t>311435251320 - 14/04/2022 19:06:00</t>
  </si>
  <si>
    <t>OFLOXACIN IP ( MAKE - INFINITY )</t>
  </si>
  <si>
    <t>UK18CA0203</t>
  </si>
  <si>
    <t>331435149331</t>
  </si>
  <si>
    <t>331435149331 - 13/04/2022 23:53:00</t>
  </si>
  <si>
    <t>mt silver</t>
  </si>
  <si>
    <t>351434680192</t>
  </si>
  <si>
    <t>351434680192 - 12/04/2022 20:30:00</t>
  </si>
  <si>
    <t>ISO PROPYL ALCOHOL</t>
  </si>
  <si>
    <t>311434845603</t>
  </si>
  <si>
    <t>311434845603 - 12/04/2022 19:55:00</t>
  </si>
  <si>
    <t>450X410X440 5 PLY C BOX</t>
  </si>
  <si>
    <t>321434843048</t>
  </si>
  <si>
    <t>321434843048 - 12/04/2022 19:48:00</t>
  </si>
  <si>
    <t>371434214632</t>
  </si>
  <si>
    <t>371434214632 - 11/04/2022 22:27:00</t>
  </si>
  <si>
    <t>UK06CB8826</t>
  </si>
  <si>
    <t>371434436249</t>
  </si>
  <si>
    <t>371434436249 - 11/04/2022 21:39:00</t>
  </si>
  <si>
    <t>HP17C1548</t>
  </si>
  <si>
    <t>351434172701</t>
  </si>
  <si>
    <t>351434172701 - 11/04/2022 20:44:00</t>
  </si>
  <si>
    <t>MANITOL IP</t>
  </si>
  <si>
    <t>UK18CA5709</t>
  </si>
  <si>
    <t>381433558422</t>
  </si>
  <si>
    <t>04AAKFM1274G1ZG / DPB ANTIBIOTICS</t>
  </si>
  <si>
    <t>CHANDIGARH / 160101</t>
  </si>
  <si>
    <t>381433558422 - 09/04/2022 23:56:00</t>
  </si>
  <si>
    <t>AMOXICILLIN TRIHY. BP COMPACTED</t>
  </si>
  <si>
    <t>UA050619</t>
  </si>
  <si>
    <t>391433631458</t>
  </si>
  <si>
    <t>391433631458 - 09/04/2022 13:15:00</t>
  </si>
  <si>
    <t>ALUMUNIUM PRINTED FOIL</t>
  </si>
  <si>
    <t>371433313141</t>
  </si>
  <si>
    <t>371433313141 - 08/04/2022 16:37:00</t>
  </si>
  <si>
    <t>321431961190</t>
  </si>
  <si>
    <t>321431961190 - 07/04/2022 22:42:00</t>
  </si>
  <si>
    <t>UK06CA7188</t>
  </si>
  <si>
    <t>301432491041</t>
  </si>
  <si>
    <t>301432491041 - 06/04/2022 22:39:00</t>
  </si>
  <si>
    <t>301431533261</t>
  </si>
  <si>
    <t>02AAACR6057R1Z1 / ROHAN PHARMA PVT LTD</t>
  </si>
  <si>
    <t>05AAECM6380J1ZA / MRHEALTHCARE PVT LTD</t>
  </si>
  <si>
    <t>BADDI / 173205</t>
  </si>
  <si>
    <t>301431533261 - 04/04/2022 15:36:00</t>
  </si>
  <si>
    <t>311430707899</t>
  </si>
  <si>
    <t>311430707899 - 01/04/2022 16:38:00</t>
  </si>
  <si>
    <t>PARACETAMOL IP (VIVA-API)</t>
  </si>
  <si>
    <t>471304847525</t>
  </si>
  <si>
    <t>09AVWPT8411D1Z0 / MEDZY PHARMACEUTICAL</t>
  </si>
  <si>
    <t>RUDRAPUR / 263153</t>
  </si>
  <si>
    <t>471304847525 - 09/01/2023 12:13:00</t>
  </si>
  <si>
    <t>UK06CB0334</t>
  </si>
  <si>
    <t>401307566882</t>
  </si>
  <si>
    <t>rudrapur / 263153</t>
  </si>
  <si>
    <t>401307566882 - 21/01/2023 20:07:00</t>
  </si>
  <si>
    <t>UK06CB8289</t>
  </si>
  <si>
    <t>361555044270</t>
  </si>
  <si>
    <t>361555044270 - 31/01/2023 23:28:00</t>
  </si>
  <si>
    <t>Itraconazole Pellets 40% -BP</t>
  </si>
  <si>
    <t>301554952187</t>
  </si>
  <si>
    <t>301554952187 - 31/01/2023 23:28:00</t>
  </si>
  <si>
    <t>371552200498</t>
  </si>
  <si>
    <t>05ABDPK4467D1ZX / Suresh Chandra Anil Kumar</t>
  </si>
  <si>
    <t>05AAECM6380J1ZA / MR Healthcare Pvt. Ltd., Ramnagar</t>
  </si>
  <si>
    <t>371552200498 - 24/01/2023 13:50:00</t>
  </si>
  <si>
    <t>Enamel Colour 20L</t>
  </si>
  <si>
    <t>UK04CA5561</t>
  </si>
  <si>
    <t>391551253978</t>
  </si>
  <si>
    <t>391551253978 - 21/01/2023 20:56:00</t>
  </si>
  <si>
    <t>METHYL SALICYLATE IP</t>
  </si>
  <si>
    <t>341551092321</t>
  </si>
  <si>
    <t>06AAACD2877R1Z3 / DHANUKA LABORATORIES LIMITED</t>
  </si>
  <si>
    <t>Gurugram / 122004</t>
  </si>
  <si>
    <t>341551092321 - 21/01/2023 13:08:00</t>
  </si>
  <si>
    <t>Cefpodoxime Proxetil IP Compacted</t>
  </si>
  <si>
    <t>UK18CA3673</t>
  </si>
  <si>
    <t>361547876087</t>
  </si>
  <si>
    <t>361547876087 - 14/01/2023 21:53:00</t>
  </si>
  <si>
    <t>391547396076</t>
  </si>
  <si>
    <t>391547396076 - 13/01/2023 00:36:00</t>
  </si>
  <si>
    <t>371546946847</t>
  </si>
  <si>
    <t>05CQEPR8480H1ZF / GLOBAL TONICS</t>
  </si>
  <si>
    <t>05AAECM6380J1ZA / M.R HEALTHCARE</t>
  </si>
  <si>
    <t>Haridwar,UTTARAKHAND-249410 / 249410</t>
  </si>
  <si>
    <t>371546946847 - 11/01/2023 21:18:00</t>
  </si>
  <si>
    <t>AAYCELL 15</t>
  </si>
  <si>
    <t>311544920494</t>
  </si>
  <si>
    <t>311544920494 - 06/01/2023 22:28:00</t>
  </si>
  <si>
    <t>391544122755</t>
  </si>
  <si>
    <t>391544122755 - 04/01/2023 21:18:00</t>
  </si>
  <si>
    <t>391554597716</t>
  </si>
  <si>
    <t>05AAGFP5705R1ZS / Pagia Hardware</t>
  </si>
  <si>
    <t>05AAECM6380J1ZA / M R HEALTH CARE P LTD</t>
  </si>
  <si>
    <t>KASHIPUR / 244713</t>
  </si>
  <si>
    <t>RAMNAGR / 244715</t>
  </si>
  <si>
    <t>391554597716 - 30/01/2023 18:05:00</t>
  </si>
  <si>
    <t>M.S.Beam (72163200)</t>
  </si>
  <si>
    <t>UK19CA0411</t>
  </si>
  <si>
    <t>301542482696</t>
  </si>
  <si>
    <t>02AAECS5320E1ZZ / P K PHARMATECH PRIVATE LIMITED</t>
  </si>
  <si>
    <t>Dharuhera / 123110</t>
  </si>
  <si>
    <t>301542482696 - 03/01/2023 14:51:00</t>
  </si>
  <si>
    <t>Ampicillin Trihydrate BP (Plain)</t>
  </si>
  <si>
    <t>HR38T0499</t>
  </si>
  <si>
    <t>341554959205</t>
  </si>
  <si>
    <t>341554959205 - 31/01/2023 23:28:00</t>
  </si>
  <si>
    <t>CEFIXIME T.H.COMPACTED IP (COVALENT)</t>
  </si>
  <si>
    <t>301551739848</t>
  </si>
  <si>
    <t>301551739848 - 24/01/2023 00:01:00</t>
  </si>
  <si>
    <t>351548127035</t>
  </si>
  <si>
    <t>351548127035 - 14/01/2023 19:44:00</t>
  </si>
  <si>
    <t>341547771377</t>
  </si>
  <si>
    <t>341547771377 - 13/01/2023 23:04:00</t>
  </si>
  <si>
    <t>381546939754</t>
  </si>
  <si>
    <t>381546939754 - 12/01/2023 00:20:00</t>
  </si>
  <si>
    <t>391546527044</t>
  </si>
  <si>
    <t>391546527044 - 10/01/2023 20:54:00</t>
  </si>
  <si>
    <t>LAMITUBE ROOPBAHAR ANTI PIMPLE GEL 20GM</t>
  </si>
  <si>
    <t>341545711078</t>
  </si>
  <si>
    <t>KARORA / 203129</t>
  </si>
  <si>
    <t>341545711078 - 09/01/2023 08:55:00</t>
  </si>
  <si>
    <t>UP75AT8783</t>
  </si>
  <si>
    <t>331542552620</t>
  </si>
  <si>
    <t>331542552620 - 01/01/2023 00:38:00</t>
  </si>
  <si>
    <t>301553761500</t>
  </si>
  <si>
    <t>301553761500 - 28/01/2023 23:33:00</t>
  </si>
  <si>
    <t>321551820502</t>
  </si>
  <si>
    <t>321551820502 - 23/01/2023 16:11:00</t>
  </si>
  <si>
    <t>UK18CA6730</t>
  </si>
  <si>
    <t>331548784186</t>
  </si>
  <si>
    <t>331548784186 - 16/01/2023 23:10:00</t>
  </si>
  <si>
    <t>Ship</t>
  </si>
  <si>
    <t>361548106318</t>
  </si>
  <si>
    <t>361548106318 - 14/01/2023 19:44:00</t>
  </si>
  <si>
    <t>ISO PROPYL ALCOHOL IP</t>
  </si>
  <si>
    <t>371547983207</t>
  </si>
  <si>
    <t>371547983207 - 14/01/2023 07:13:00</t>
  </si>
  <si>
    <t>lami tube</t>
  </si>
  <si>
    <t>331546934415</t>
  </si>
  <si>
    <t>331546934415 - 12/01/2023 20:58:00</t>
  </si>
  <si>
    <t>UK06CA7296</t>
  </si>
  <si>
    <t>361545805067</t>
  </si>
  <si>
    <t>361545805067 - 09/01/2023 23:09:00</t>
  </si>
  <si>
    <t>351544059761</t>
  </si>
  <si>
    <t>351544059761 - 04/01/2023 19:30:00</t>
  </si>
  <si>
    <t>341546530906</t>
  </si>
  <si>
    <t>341546530906 - 10/01/2023 22:52:00</t>
  </si>
  <si>
    <t>METHYLCOBALAMIN JP</t>
  </si>
  <si>
    <t>281541111204</t>
  </si>
  <si>
    <t>281541111204 - 30/01/2023 15:07:00</t>
  </si>
  <si>
    <t>hr55y7458</t>
  </si>
  <si>
    <t>261535006176</t>
  </si>
  <si>
    <t>261535006176 - 17/01/2023 15:53:00</t>
  </si>
  <si>
    <t>HR38W4047</t>
  </si>
  <si>
    <t>201529307074</t>
  </si>
  <si>
    <t>201529307074 - 08/01/2023 15:10:00</t>
  </si>
  <si>
    <t>UK04CB9245</t>
  </si>
  <si>
    <t>271541071710</t>
  </si>
  <si>
    <t>271541071710 - 30/01/2023 15:07:00</t>
  </si>
  <si>
    <t>271536088949</t>
  </si>
  <si>
    <t>271536088949 - 20/01/2023 18:28:00</t>
  </si>
  <si>
    <t>251536666187</t>
  </si>
  <si>
    <t>27AALFP6037D1Z7 / M/S PARAM PHARMA</t>
  </si>
  <si>
    <t>251536666187 - 20/01/2023 18:24:00</t>
  </si>
  <si>
    <t>201532472174</t>
  </si>
  <si>
    <t>27AAECA1503D1ZE / ABIL CHEMPHARMA PVT. LTD.</t>
  </si>
  <si>
    <t>05AAECM6380J1ZA / M.R.HEALTH CARE PVT.LTD.,</t>
  </si>
  <si>
    <t>201532472174 - 13/01/2023 19:01:00</t>
  </si>
  <si>
    <t>FLAVOXATE HYDROCHLORIDE</t>
  </si>
  <si>
    <t>221530271582</t>
  </si>
  <si>
    <t>27AAIFV1964C1Z4 / VISION PLUS HEALTH CARE</t>
  </si>
  <si>
    <t>Aurangabad / 431001</t>
  </si>
  <si>
    <t>221530271582 - 04/01/2023 14:40:00</t>
  </si>
  <si>
    <t>STOMGUT</t>
  </si>
  <si>
    <t>231529306294</t>
  </si>
  <si>
    <t>231529306294 - 04/01/2023 11:40:00</t>
  </si>
  <si>
    <t>201527444104</t>
  </si>
  <si>
    <t>27AABFC8539M1Z0 / CENTRAL DRUG HOUSE</t>
  </si>
  <si>
    <t>05AAECM6380J1ZA / M.R.HEALTHCARE PVT.LTD.</t>
  </si>
  <si>
    <t>201527444104 - 02/01/2023 15:36:00</t>
  </si>
  <si>
    <t>VITAMIN B1 HCL [THIAMINE HCL]</t>
  </si>
  <si>
    <t>UK18CA4303</t>
  </si>
  <si>
    <t>281544365473</t>
  </si>
  <si>
    <t>27AAACU6175D1ZC / UNNATI PHARMACEUTICALS PVT LTD</t>
  </si>
  <si>
    <t>Dist Thane / 421302</t>
  </si>
  <si>
    <t>281544365473 - 04/02/2023 23:26:00</t>
  </si>
  <si>
    <t>RAMIPRIL IP</t>
  </si>
  <si>
    <t>uk07pa2505</t>
  </si>
  <si>
    <t>261549516885</t>
  </si>
  <si>
    <t>261549516885 - 17/02/2023 17:16:00</t>
  </si>
  <si>
    <t>TELMISARTAN IP</t>
  </si>
  <si>
    <t>221545810002</t>
  </si>
  <si>
    <t>27AACPA0543Q1ZS / KHUSHI CHEM</t>
  </si>
  <si>
    <t>DIST.THANE / 421302</t>
  </si>
  <si>
    <t>221545810002 - 08/02/2023 20:21:00</t>
  </si>
  <si>
    <t>241547550975</t>
  </si>
  <si>
    <t>27AABCA3876G1ZN / AQUATIC REMEDIES LIMITED</t>
  </si>
  <si>
    <t>05AAECM6380J1ZA / M.R. HEALTHCARE PVT.LTD.</t>
  </si>
  <si>
    <t>241547550975 - 12/02/2023 12:12:00</t>
  </si>
  <si>
    <t>P.V.P.K. 30</t>
  </si>
  <si>
    <t>251545143460</t>
  </si>
  <si>
    <t>251545143460 - 08/02/2023 20:21:00</t>
  </si>
  <si>
    <t>241545286168</t>
  </si>
  <si>
    <t>241545286168 - 08/02/2023 18:47:00</t>
  </si>
  <si>
    <t>261546164757</t>
  </si>
  <si>
    <t>261546164757 - 08/02/2023 15:27:00</t>
  </si>
  <si>
    <t>HR38AD7145</t>
  </si>
  <si>
    <t>341560627916</t>
  </si>
  <si>
    <t>341560627916 - 13/02/2023 22:51:00</t>
  </si>
  <si>
    <t>311560568294</t>
  </si>
  <si>
    <t>311560568294 - 13/02/2023 22:51:00</t>
  </si>
  <si>
    <t>351557369251</t>
  </si>
  <si>
    <t>351557369251 - 06/02/2023 18:15:00</t>
  </si>
  <si>
    <t>REDT/CT - 0</t>
  </si>
  <si>
    <t>UK06CB7787</t>
  </si>
  <si>
    <t>311556295319</t>
  </si>
  <si>
    <t>311556295319 - 03/02/2023 22:40:00</t>
  </si>
  <si>
    <t>311556584527</t>
  </si>
  <si>
    <t>311556584527 - 03/02/2023 22:40:00</t>
  </si>
  <si>
    <t>341563364924</t>
  </si>
  <si>
    <t>341563364924 - 20/02/2023 23:33:00</t>
  </si>
  <si>
    <t>331563414031</t>
  </si>
  <si>
    <t>05ADDPT3457G1ZI / AVA PACKAGING</t>
  </si>
  <si>
    <t>331563414031 - 20/02/2023 23:33:00</t>
  </si>
  <si>
    <t>341566604137</t>
  </si>
  <si>
    <t>341566604137 - 28/02/2023 00:49:00</t>
  </si>
  <si>
    <t>351565018048</t>
  </si>
  <si>
    <t>351565018048 - 23/02/2023 16:50:00</t>
  </si>
  <si>
    <t>HDPE 60ml Dry Syrup Bottle (11.50Gm)</t>
  </si>
  <si>
    <t>UK06CA2565</t>
  </si>
  <si>
    <t>331564577784</t>
  </si>
  <si>
    <t>331564577784 - 22/02/2023 22:53:00</t>
  </si>
  <si>
    <t>371563964327</t>
  </si>
  <si>
    <t>371563964327 - 21/02/2023 22:37:00</t>
  </si>
  <si>
    <t>361562555244</t>
  </si>
  <si>
    <t>361562555244 - 17/02/2023 22:29:00</t>
  </si>
  <si>
    <t>331562558695</t>
  </si>
  <si>
    <t>331562558695 - 17/02/2023 17:39:00</t>
  </si>
  <si>
    <t>361561948487</t>
  </si>
  <si>
    <t>361561948487 - 16/02/2023 23:38:00</t>
  </si>
  <si>
    <t>361561910811</t>
  </si>
  <si>
    <t>361561910811 - 16/02/2023 22:28:00</t>
  </si>
  <si>
    <t>331561158397</t>
  </si>
  <si>
    <t>331561158397 - 14/02/2023 22:56:00</t>
  </si>
  <si>
    <t>321561067876</t>
  </si>
  <si>
    <t>321561067876 - 14/02/2023 22:56:00</t>
  </si>
  <si>
    <t>391561172957</t>
  </si>
  <si>
    <t>391561172957 - 14/02/2023 19:53:00</t>
  </si>
  <si>
    <t>381561172066</t>
  </si>
  <si>
    <t>381561172066 - 14/02/2023 19:51:00</t>
  </si>
  <si>
    <t>PRINTED ALUMINUM FOIL</t>
  </si>
  <si>
    <t>341558950499</t>
  </si>
  <si>
    <t>341558950499 - 10/02/2023 00:03:00</t>
  </si>
  <si>
    <t>341557036633</t>
  </si>
  <si>
    <t>05ACIFS4644N1ZN / SIDDHARTH DISTRIBUTORS</t>
  </si>
  <si>
    <t>Moti Bazar Dehradun / 248001</t>
  </si>
  <si>
    <t>341557036633 - 08/02/2023 19:47:00</t>
  </si>
  <si>
    <t>LA811-250No Steam Indicator Strip</t>
  </si>
  <si>
    <t>UK04CA3196</t>
  </si>
  <si>
    <t>301558365208</t>
  </si>
  <si>
    <t>05AAZFP6857H1ZF / M/S PARAS PACKAGING INDUSTRIES</t>
  </si>
  <si>
    <t>Udham Singh Nagar / 244713</t>
  </si>
  <si>
    <t>301558365208 - 08/02/2023 13:14:00</t>
  </si>
  <si>
    <t>UK18CA6433</t>
  </si>
  <si>
    <t>391558006250</t>
  </si>
  <si>
    <t>391558006250 - 08/02/2023 11:17:00</t>
  </si>
  <si>
    <t>ORANGE/ORANGE - 0</t>
  </si>
  <si>
    <t>321557986572</t>
  </si>
  <si>
    <t>Rudarpur / 263153</t>
  </si>
  <si>
    <t>321557986572 - 07/02/2023 15:51:00</t>
  </si>
  <si>
    <t>UK06CA8629</t>
  </si>
  <si>
    <t>351557655080</t>
  </si>
  <si>
    <t>351557655080 - 06/02/2023 22:35:00</t>
  </si>
  <si>
    <t>371556378928</t>
  </si>
  <si>
    <t>05AIEPA8211D1Z1 / M/S RADHIKA PAPERS</t>
  </si>
  <si>
    <t>371556378928 - 03/02/2023 13:35:00</t>
  </si>
  <si>
    <t>Withing printing paper</t>
  </si>
  <si>
    <t>UK21AN9068</t>
  </si>
  <si>
    <t>391565885572</t>
  </si>
  <si>
    <t>391565885572 - 25/02/2023 23:44:00</t>
  </si>
  <si>
    <t>331563878914</t>
  </si>
  <si>
    <t>331563878914 - 21/02/2023 22:27:00</t>
  </si>
  <si>
    <t>331564007421</t>
  </si>
  <si>
    <t>331564007421 - 21/02/2023 22:27:00</t>
  </si>
  <si>
    <t>Aluminium Printing Foil</t>
  </si>
  <si>
    <t>351563414305</t>
  </si>
  <si>
    <t>Haridwar / 247661</t>
  </si>
  <si>
    <t>351563414305 - 20/02/2023 23:33:00</t>
  </si>
  <si>
    <t>481315723882</t>
  </si>
  <si>
    <t>09AARPG6593K1ZV / M/S SUNDER INDUSTRIES</t>
  </si>
  <si>
    <t>Ghaziabad / 201001</t>
  </si>
  <si>
    <t>481315723882 - 21/02/2023 18:18:00</t>
  </si>
  <si>
    <t>Printed Aluminium Foil Used in Packing of Medicine</t>
  </si>
  <si>
    <t>481315726414</t>
  </si>
  <si>
    <t>09ABZFS8163Q1ZO / SUNDER PACKAGINGS</t>
  </si>
  <si>
    <t>Ghaziabad / 201002</t>
  </si>
  <si>
    <t>481315726414 - 21/02/2023 18:22:00</t>
  </si>
  <si>
    <t>Printed Duplex Mono Cartons</t>
  </si>
  <si>
    <t>691520855827</t>
  </si>
  <si>
    <t>24AAACE9178J1ZC / ENVEE DRUG PVT LTD</t>
  </si>
  <si>
    <t>Kheda / 387001</t>
  </si>
  <si>
    <t>691520855827 - 04/02/2023 10:31:00</t>
  </si>
  <si>
    <t>OTHER RIFAMPICIN AND ITS SALTS</t>
  </si>
  <si>
    <t>791316134067</t>
  </si>
  <si>
    <t>07AESPT2022H1ZC / Om International</t>
  </si>
  <si>
    <t>Central Delhi / 110005</t>
  </si>
  <si>
    <t>791316134067 - 04/02/2023 21:48:00</t>
  </si>
  <si>
    <t>Change Parts</t>
  </si>
  <si>
    <t>761321471343</t>
  </si>
  <si>
    <t>07AAACR6057R1ZR / ROHAN PHARMA PVT LTD</t>
  </si>
  <si>
    <t>DELHI / 110039</t>
  </si>
  <si>
    <t>761321471343 - 28/02/2023 22:08:00</t>
  </si>
  <si>
    <t>791320244732</t>
  </si>
  <si>
    <t>791320244732 - 22/02/2023 22:03:00</t>
  </si>
  <si>
    <t>UK18CA6747</t>
  </si>
  <si>
    <t>791319879996</t>
  </si>
  <si>
    <t>07AAGFL4546C1ZI / LAXMI PRINT N PACK</t>
  </si>
  <si>
    <t>NARAINA / 110028</t>
  </si>
  <si>
    <t>791319879996 - 20/02/2023 22:36:00</t>
  </si>
  <si>
    <t>UP21BN8847</t>
  </si>
  <si>
    <t>761315835216</t>
  </si>
  <si>
    <t>07AAQFC6975N1ZH / CRETA PACKAGING</t>
  </si>
  <si>
    <t>North West Delhi / 110042</t>
  </si>
  <si>
    <t>761315835216 - 03/02/2023 23:25:00</t>
  </si>
  <si>
    <t>711321689277</t>
  </si>
  <si>
    <t>07BPSPA7872N2Z1 / SHARVA INTERNATIONAL</t>
  </si>
  <si>
    <t>West Delhi / 110015</t>
  </si>
  <si>
    <t>711321689277 - 28/02/2023 23:20:00</t>
  </si>
  <si>
    <t>DL01GC9973</t>
  </si>
  <si>
    <t>741321209058</t>
  </si>
  <si>
    <t>741321209058 - 25/02/2023 22:37:00</t>
  </si>
  <si>
    <t>UP21CT6641</t>
  </si>
  <si>
    <t>731317593892</t>
  </si>
  <si>
    <t>731317593892 - 10/02/2023 22:41:00</t>
  </si>
  <si>
    <t>781317454370</t>
  </si>
  <si>
    <t>07ASZPG6153D1ZH / GUNINA PRINT PACK</t>
  </si>
  <si>
    <t>Delhi / 110095</t>
  </si>
  <si>
    <t>RAMNAGER / 244715</t>
  </si>
  <si>
    <t>781317454370 - 10/02/2023 22:17:00</t>
  </si>
  <si>
    <t>791316391886</t>
  </si>
  <si>
    <t>791316391886 - 06/02/2023 21:01:00</t>
  </si>
  <si>
    <t>UK06CB5759</t>
  </si>
  <si>
    <t>781328504198</t>
  </si>
  <si>
    <t>07ABWPB1401F1Z3 / BHARAT PHARMA</t>
  </si>
  <si>
    <t>DELHI / 110042</t>
  </si>
  <si>
    <t>781328504198 - 30/03/2023 21:39:00</t>
  </si>
  <si>
    <t>ETORICOXIB IP (SEUTIC)</t>
  </si>
  <si>
    <t>HR38X5874</t>
  </si>
  <si>
    <t>771327542310</t>
  </si>
  <si>
    <t>New Delhi / 110028</t>
  </si>
  <si>
    <t>771327542310 - 26/03/2023 00:58:00</t>
  </si>
  <si>
    <t>BOX</t>
  </si>
  <si>
    <t>UP21CN5551</t>
  </si>
  <si>
    <t>711326795029</t>
  </si>
  <si>
    <t>711326795029 - 22/03/2023 20:38:00</t>
  </si>
  <si>
    <t>UP21AN9959</t>
  </si>
  <si>
    <t>791326162975</t>
  </si>
  <si>
    <t>07ALSPG4781D1ZW / CRETA PACKAGING</t>
  </si>
  <si>
    <t>New Delhi / 110042</t>
  </si>
  <si>
    <t>791326162975 - 21/03/2023 00:51:00</t>
  </si>
  <si>
    <t>711325071467</t>
  </si>
  <si>
    <t>711325071467 - 15/03/2023 22:24:00</t>
  </si>
  <si>
    <t>751324381046</t>
  </si>
  <si>
    <t>751324381046 - 14/03/2023 21:35:00</t>
  </si>
  <si>
    <t>771324685915</t>
  </si>
  <si>
    <t>08AACCA7721R1Z7 / ALKA LABORATORIES PVT LTD</t>
  </si>
  <si>
    <t>BHIWADI / 301019</t>
  </si>
  <si>
    <t>771324685915 - 14/03/2023 15:46:00</t>
  </si>
  <si>
    <t>Mefenamic Acid BP</t>
  </si>
  <si>
    <t>UK08CA9855</t>
  </si>
  <si>
    <t>761322599178</t>
  </si>
  <si>
    <t>BAWANA / 110039</t>
  </si>
  <si>
    <t>761322599178 - 04/03/2023 23:38:00</t>
  </si>
  <si>
    <t>751323005093</t>
  </si>
  <si>
    <t>751323005093 - 04/03/2023 22:49:00</t>
  </si>
  <si>
    <t>UK02CA0605</t>
  </si>
  <si>
    <t>761328713826</t>
  </si>
  <si>
    <t>761328713826 - 30/03/2023 22:10:00</t>
  </si>
  <si>
    <t>711328406880</t>
  </si>
  <si>
    <t>07ABECS4075R1ZM / SAMCHEM INDIA PRIVATE LIMITED</t>
  </si>
  <si>
    <t>New Delhi / 110015</t>
  </si>
  <si>
    <t>711328406880 - 29/03/2023 22:34:00</t>
  </si>
  <si>
    <t>RAW MATERIAL</t>
  </si>
  <si>
    <t>791327819872</t>
  </si>
  <si>
    <t>791327819872 - 27/03/2023 12:44:00</t>
  </si>
  <si>
    <t>721327167192</t>
  </si>
  <si>
    <t>721327167192 - 24/03/2023 12:56:00</t>
  </si>
  <si>
    <t>HR58C3855</t>
  </si>
  <si>
    <t>781326796250</t>
  </si>
  <si>
    <t>781326796250 - 22/03/2023 20:46:00</t>
  </si>
  <si>
    <t>781326315886</t>
  </si>
  <si>
    <t>781326315886 - 22/03/2023 00:20:00</t>
  </si>
  <si>
    <t>751323570687</t>
  </si>
  <si>
    <t>07AATFD3714H1ZB / DIWAN CHAND SAHANI AND SONS LLP</t>
  </si>
  <si>
    <t>751323570687 - 10/03/2023 21:17:00</t>
  </si>
  <si>
    <t>OTHER CHEMICALS</t>
  </si>
  <si>
    <t>741328456008</t>
  </si>
  <si>
    <t>741328456008 - 29/03/2023 22:35:00</t>
  </si>
  <si>
    <t>751328051372</t>
  </si>
  <si>
    <t>07AWMPG2245H1ZL / RAINBOW PHARMA AGENCIES</t>
  </si>
  <si>
    <t>05AAECM6380J1ZA / M.R.HEALTHCARE PVT. LTD. - Uttarakhand</t>
  </si>
  <si>
    <t>Delhi / 110040</t>
  </si>
  <si>
    <t>Uttrakhand / 244715</t>
  </si>
  <si>
    <t>751328051372 - 28/03/2023 10:38:00</t>
  </si>
  <si>
    <t>AZITHROMYCIN IP/USP</t>
  </si>
  <si>
    <t>601543202371</t>
  </si>
  <si>
    <t>24AALCS2037D1ZO / STERMONE CHEMICALS PVT LTD</t>
  </si>
  <si>
    <t>Anand / 388620</t>
  </si>
  <si>
    <t>601543202371 - 30/03/2023 00:32:00</t>
  </si>
  <si>
    <t>CLOBETASOL PROPIONATE IP</t>
  </si>
  <si>
    <t>621541012497</t>
  </si>
  <si>
    <t>26AAACA3345D1Z8 / Amisha Vinyls Pvt. Ltd.</t>
  </si>
  <si>
    <t>Daman / 396210</t>
  </si>
  <si>
    <t>621541012497 - 22/03/2023 19:09:00</t>
  </si>
  <si>
    <t>Pharma grade - 01 - Blue Tone - 0.25mm Thick - 208mm Width - Paper Core 9 - BOX - WL</t>
  </si>
  <si>
    <t>UK18CA6871</t>
  </si>
  <si>
    <t>601537369187</t>
  </si>
  <si>
    <t>24AABFC0922C1ZC / COREL PHARMA CHEM</t>
  </si>
  <si>
    <t>05AAECM6380J1ZA / M. R. Healthcare Private Limited</t>
  </si>
  <si>
    <t>Mehsana / 382715</t>
  </si>
  <si>
    <t>601537369187 - 16/03/2023 19:20:00</t>
  </si>
  <si>
    <t>Kyron T-134 (DR) (25 Kg)</t>
  </si>
  <si>
    <t>661537137834</t>
  </si>
  <si>
    <t>23BJGPJ1082F1ZM / YES LIFESCIENCE</t>
  </si>
  <si>
    <t>Indore / 452001</t>
  </si>
  <si>
    <t>661537137834 - 15/03/2023 20:38:00</t>
  </si>
  <si>
    <t>HL MEDICINE</t>
  </si>
  <si>
    <t>651535357064</t>
  </si>
  <si>
    <t>24AABCP1993P1ZX / Pure Chem Private Limited</t>
  </si>
  <si>
    <t>05AAECM6380J1ZA / M.R.Healthcare Pvt.Ltd.</t>
  </si>
  <si>
    <t>Ankleshwar / 393002</t>
  </si>
  <si>
    <t>651535357064 - 14/03/2023 16:37:00</t>
  </si>
  <si>
    <t>Febantel IP</t>
  </si>
  <si>
    <t>611535093137</t>
  </si>
  <si>
    <t>611535093137 - 09/03/2023 16:26:00</t>
  </si>
  <si>
    <t>Pharma grade - 01 - Blue Tone - 0.25mm Thick - 184mm Width - Paper Core 9 - BOX - WL</t>
  </si>
  <si>
    <t>UK06CB4490</t>
  </si>
  <si>
    <t>681543042742</t>
  </si>
  <si>
    <t>24AAACV3832E1ZP / VIKRAM THERMO INDIA LIMITED</t>
  </si>
  <si>
    <t>DHANOT / 382729</t>
  </si>
  <si>
    <t>681543042742 - 27/03/2023 19:49:00</t>
  </si>
  <si>
    <t>DRCOAT HSP</t>
  </si>
  <si>
    <t>UK18CA6153</t>
  </si>
  <si>
    <t>641538415634</t>
  </si>
  <si>
    <t>24AARFM8635Q1ZB / MEGHMANI LLP</t>
  </si>
  <si>
    <t>05AAECM6380J1ZA / M. R. Healthcare Pvt Ltd</t>
  </si>
  <si>
    <t>DAHEJ / 392130</t>
  </si>
  <si>
    <t>641538415634 - 17/03/2023 11:18:00</t>
  </si>
  <si>
    <t>PARACETAMOL IP Powder</t>
  </si>
  <si>
    <t>UP79T0835</t>
  </si>
  <si>
    <t>641536952050</t>
  </si>
  <si>
    <t>24AACCP8166B1ZM / PRANAMI DRUGS PVT. LTD.</t>
  </si>
  <si>
    <t>05AAECM6380J1ZA / M. R. HEALTHCARE PVT. LTD.</t>
  </si>
  <si>
    <t>ANKLESHWAR / 393002</t>
  </si>
  <si>
    <t>641536952050 - 15/03/2023 22:37:00</t>
  </si>
  <si>
    <t>MICONAZOLE NITRATE</t>
  </si>
  <si>
    <t>DL01GC4804</t>
  </si>
  <si>
    <t>691534955494</t>
  </si>
  <si>
    <t>24AAQFR9860F1ZP / REINE LIFESCIENCE</t>
  </si>
  <si>
    <t>Bharuch / 393002</t>
  </si>
  <si>
    <t>691534955494 - 14/03/2023 16:37:00</t>
  </si>
  <si>
    <t>Pharma Product</t>
  </si>
  <si>
    <t>461291110368</t>
  </si>
  <si>
    <t>09BGUPK3260M1ZP / SHRI ENTERPRISES</t>
  </si>
  <si>
    <t>SAHARANPUR / 247001</t>
  </si>
  <si>
    <t>461291110368 - 13/11/2022 00:02:00</t>
  </si>
  <si>
    <t>PAPER</t>
  </si>
  <si>
    <t>UK17CA4284</t>
  </si>
  <si>
    <t>421292148791</t>
  </si>
  <si>
    <t>421292148791 - 16/11/2022 09:46:00</t>
  </si>
  <si>
    <t>UK06CB2817</t>
  </si>
  <si>
    <t>401293616022</t>
  </si>
  <si>
    <t>401293616022 - 22/11/2022 12:23:00</t>
  </si>
  <si>
    <t>331519891837</t>
  </si>
  <si>
    <t>331519891837 - 07/11/2022 22:38:00</t>
  </si>
  <si>
    <t>361519392579</t>
  </si>
  <si>
    <t>361519392579 - 06/11/2022 06:21:00</t>
  </si>
  <si>
    <t>371518464731</t>
  </si>
  <si>
    <t>371518464731 - 03/11/2022 23:43:00</t>
  </si>
  <si>
    <t>301517959039</t>
  </si>
  <si>
    <t>05ABIPJ4175A1Z2 / MAHAVEER AGENCIES</t>
  </si>
  <si>
    <t>05AAECM6380J1ZA / M.R.Healthcare Pvt.Ltd,</t>
  </si>
  <si>
    <t>HARIDWAR / 249401</t>
  </si>
  <si>
    <t>301517959039 - 02/11/2022 20:06:00</t>
  </si>
  <si>
    <t>CAB-O-SIL (M5 P)</t>
  </si>
  <si>
    <t>361529978781</t>
  </si>
  <si>
    <t>05AAVFR9326F1ZR / ROLL PACK ENTERPRISES KASHIPUR</t>
  </si>
  <si>
    <t>361529978781 - 30/11/2022 20:09:00</t>
  </si>
  <si>
    <t>STAMP</t>
  </si>
  <si>
    <t>UK18E3691</t>
  </si>
  <si>
    <t>371528853961</t>
  </si>
  <si>
    <t>371528853961 - 29/11/2022 00:20:00</t>
  </si>
  <si>
    <t>301528911789</t>
  </si>
  <si>
    <t>301528911789 - 28/11/2022 19:12:00</t>
  </si>
  <si>
    <t>alumunium printed foil</t>
  </si>
  <si>
    <t>371526869142</t>
  </si>
  <si>
    <t>371526869142 - 23/11/2022 23:20:00</t>
  </si>
  <si>
    <t>CARTON</t>
  </si>
  <si>
    <t>361525241083</t>
  </si>
  <si>
    <t>05AAHFI1252P1Z8 / IATRIC BIO SCIENCES LLP.</t>
  </si>
  <si>
    <t>361525241083 - 19/11/2022 22:38:00</t>
  </si>
  <si>
    <t>VITAMIN D3 STABILIZED 500000 IU/GM(29362940)STABICO</t>
  </si>
  <si>
    <t>331525006681</t>
  </si>
  <si>
    <t>05ABMFA2598N1ZU / A ONE TRADERS</t>
  </si>
  <si>
    <t>331525006681 - 19/11/2022 19:43:00</t>
  </si>
  <si>
    <t>EMPTY CAPSULE SHELL</t>
  </si>
  <si>
    <t>381520499555</t>
  </si>
  <si>
    <t>381520499555 - 08/11/2022 23:23:00</t>
  </si>
  <si>
    <t>301519888658</t>
  </si>
  <si>
    <t>301519888658 - 07/11/2022 22:38:00</t>
  </si>
  <si>
    <t>381517858152</t>
  </si>
  <si>
    <t>381517858152 - 02/11/2022 20:06:00</t>
  </si>
  <si>
    <t>331518067004</t>
  </si>
  <si>
    <t>331518067004 - 02/11/2022 19:50:00</t>
  </si>
  <si>
    <t>UK06CA7185</t>
  </si>
  <si>
    <t>361518001308</t>
  </si>
  <si>
    <t>06AFVPG3592H1Z1 / SHREE SHYAM PACKAGING</t>
  </si>
  <si>
    <t>Jhajjar / 124507</t>
  </si>
  <si>
    <t>361518001308 - 02/11/2022 17:07:00</t>
  </si>
  <si>
    <t>351521245354</t>
  </si>
  <si>
    <t>351521245354 - 10/11/2022 22:07:00</t>
  </si>
  <si>
    <t>NIMESULIDE -BP (ALKA)</t>
  </si>
  <si>
    <t>321521005155</t>
  </si>
  <si>
    <t>321521005155 - 10/11/2022 09:43:00</t>
  </si>
  <si>
    <t>570X460X335 MM (5 PLY C BOX)</t>
  </si>
  <si>
    <t>301520256576</t>
  </si>
  <si>
    <t>301520256576 - 09/11/2022 11:02:00</t>
  </si>
  <si>
    <t>CI 50MGZINC 618MG FOLIC ACID 05MG</t>
  </si>
  <si>
    <t>UP22AT0986</t>
  </si>
  <si>
    <t>331520425399</t>
  </si>
  <si>
    <t>331520425399 - 08/11/2022 18:08:00</t>
  </si>
  <si>
    <t>0.25x184mm Clear Pvc Film</t>
  </si>
  <si>
    <t>341518743165</t>
  </si>
  <si>
    <t>341518743165 - 04/11/2022 20:10:00</t>
  </si>
  <si>
    <t>MCCP ACECEL 102 IP</t>
  </si>
  <si>
    <t>391518450525</t>
  </si>
  <si>
    <t>391518450525 - 03/11/2022 23:43:00</t>
  </si>
  <si>
    <t>381529262903</t>
  </si>
  <si>
    <t>381529262903 - 29/11/2022 22:32:00</t>
  </si>
  <si>
    <t>321529425636</t>
  </si>
  <si>
    <t>321529425636 - 29/11/2022 22:32:00</t>
  </si>
  <si>
    <t>311529038741</t>
  </si>
  <si>
    <t>311529038741 - 29/11/2022 10:18:00</t>
  </si>
  <si>
    <t>UK06CB6728</t>
  </si>
  <si>
    <t>311528841421</t>
  </si>
  <si>
    <t>05AEHPA3659L1ZG / M/S PRAKASH TRADERS RAMNAGAR</t>
  </si>
  <si>
    <t>311528841421 - 28/11/2022 17:33:00</t>
  </si>
  <si>
    <t>PVC PIPES FITTINGS</t>
  </si>
  <si>
    <t>UK18CA2068</t>
  </si>
  <si>
    <t>391528793647</t>
  </si>
  <si>
    <t>KHURJA / 203129</t>
  </si>
  <si>
    <t>391528793647 - 28/11/2022 16:38:00</t>
  </si>
  <si>
    <t>UP38T3470</t>
  </si>
  <si>
    <t>331527807730</t>
  </si>
  <si>
    <t>331527807730 - 26/11/2022 20:30:00</t>
  </si>
  <si>
    <t>LAMITUBE VINAC-CP 15GM</t>
  </si>
  <si>
    <t>301528265152</t>
  </si>
  <si>
    <t>301528265152 - 26/11/2022 18:33:00</t>
  </si>
  <si>
    <t>321527784469</t>
  </si>
  <si>
    <t>321527784469 - 26/11/2022 00:01:00</t>
  </si>
  <si>
    <t>391527779820</t>
  </si>
  <si>
    <t>Haridwar / 249403</t>
  </si>
  <si>
    <t>391527779820 - 25/11/2022 20:50:00</t>
  </si>
  <si>
    <t>331527622344</t>
  </si>
  <si>
    <t>331527622344 - 25/11/2022 13:29:00</t>
  </si>
  <si>
    <t>590X425X280 (5 PLY C BOX)</t>
  </si>
  <si>
    <t>361527276997</t>
  </si>
  <si>
    <t>361527276997 - 24/11/2022 23:43:00</t>
  </si>
  <si>
    <t>311527235795</t>
  </si>
  <si>
    <t>311527235795 - 24/11/2022 23:43:00</t>
  </si>
  <si>
    <t>30 ML S.W.F.I. IP (SUNRISE)</t>
  </si>
  <si>
    <t>361527055268</t>
  </si>
  <si>
    <t>361527055268 - 24/11/2022 19:15:00</t>
  </si>
  <si>
    <t>381526810312</t>
  </si>
  <si>
    <t>381526810312 - 23/11/2022 23:20:00</t>
  </si>
  <si>
    <t>391526893176</t>
  </si>
  <si>
    <t>391526893176 - 23/11/2022 23:20:00</t>
  </si>
  <si>
    <t>341526132681</t>
  </si>
  <si>
    <t>341526132681 - 22/11/2022 23:23:00</t>
  </si>
  <si>
    <t>PARACETAMOL - IP ( MAKE - SARA )</t>
  </si>
  <si>
    <t>331525815665</t>
  </si>
  <si>
    <t>331525815665 - 21/11/2022 22:06:00</t>
  </si>
  <si>
    <t>321525962012</t>
  </si>
  <si>
    <t>321525962012 - 21/11/2022 22:06:00</t>
  </si>
  <si>
    <t>381525754152</t>
  </si>
  <si>
    <t>381525754152 - 21/11/2022 20:09:00</t>
  </si>
  <si>
    <t>SORBITOL SOLUTION IP</t>
  </si>
  <si>
    <t>311525961016</t>
  </si>
  <si>
    <t>311525961016 - 21/11/2022 19:46:00</t>
  </si>
  <si>
    <t>PET BOTTLES 10ML 5GM RD AMB 2688</t>
  </si>
  <si>
    <t>371525250842</t>
  </si>
  <si>
    <t>371525250842 - 19/11/2022 22:38:00</t>
  </si>
  <si>
    <t>381525036539</t>
  </si>
  <si>
    <t>381525036539 - 19/11/2022 18:36:00</t>
  </si>
  <si>
    <t>SODIUM ASCORBATE IP</t>
  </si>
  <si>
    <t>UK06CB2042</t>
  </si>
  <si>
    <t>341525277024</t>
  </si>
  <si>
    <t>341525277024 - 19/11/2022 18:07:00</t>
  </si>
  <si>
    <t>0.25x198mmamber Pvc Film</t>
  </si>
  <si>
    <t>331524767185</t>
  </si>
  <si>
    <t>331524767185 - 18/11/2022 23:54:00</t>
  </si>
  <si>
    <t>371524371058</t>
  </si>
  <si>
    <t>371524371058 - 18/11/2022 22:30:00</t>
  </si>
  <si>
    <t>351524696009</t>
  </si>
  <si>
    <t>351524696009 - 18/11/2022 16:02:00</t>
  </si>
  <si>
    <t>391524223474</t>
  </si>
  <si>
    <t>391524223474 - 18/11/2022 01:46:00</t>
  </si>
  <si>
    <t>341524382882</t>
  </si>
  <si>
    <t>341524382882 - 18/11/2022 01:46:00</t>
  </si>
  <si>
    <t>331523763605</t>
  </si>
  <si>
    <t>331523763605 - 16/11/2022 23:06:00</t>
  </si>
  <si>
    <t>301523698072</t>
  </si>
  <si>
    <t>301523698072 - 16/11/2022 23:06:00</t>
  </si>
  <si>
    <t>331523197242</t>
  </si>
  <si>
    <t>03AAACA5579P1ZB / AJANTA PHARMA LIMITED 140603</t>
  </si>
  <si>
    <t>Village Pabhat Zirakpur Dist Sahibzada / 140603</t>
  </si>
  <si>
    <t>331523197242 - 15/11/2022 15:32:00</t>
  </si>
  <si>
    <t>UK18CA8399</t>
  </si>
  <si>
    <t>351523192946</t>
  </si>
  <si>
    <t>351523192946 - 15/11/2022 15:26:00</t>
  </si>
  <si>
    <t>361523165714</t>
  </si>
  <si>
    <t>05ABIPR7951C1ZK / M/S SUPER AGENCIES</t>
  </si>
  <si>
    <t>361523165714 - 15/11/2022 14:46:00</t>
  </si>
  <si>
    <t>DEF PROME SAFE</t>
  </si>
  <si>
    <t>UK18CA6958</t>
  </si>
  <si>
    <t>311522772495</t>
  </si>
  <si>
    <t>311522772495 - 14/11/2022 23:09:00</t>
  </si>
  <si>
    <t>311522923527</t>
  </si>
  <si>
    <t>05ABDFR7819N1ZO / M/s R K Packwel Industries</t>
  </si>
  <si>
    <t>05AAECM6380J1ZA / MR Healthcare Pvt. Ltd.</t>
  </si>
  <si>
    <t>Sitarganj / 262405</t>
  </si>
  <si>
    <t>311522923527 - 14/11/2022 21:21:00</t>
  </si>
  <si>
    <t>Polythene Sheets &amp; Bag</t>
  </si>
  <si>
    <t>UK04CA8868</t>
  </si>
  <si>
    <t>351522712716</t>
  </si>
  <si>
    <t>351522712716 - 14/11/2022 20:39:00</t>
  </si>
  <si>
    <t>331521655458</t>
  </si>
  <si>
    <t>02AAGCE0933K1ZX / ENROBAGE INDIA PRIVATE LIMITED</t>
  </si>
  <si>
    <t>Sirmaur / 173030</t>
  </si>
  <si>
    <t>331521655458 - 13/11/2022 18:01:00</t>
  </si>
  <si>
    <t>PHARMA RAW MATERIAL</t>
  </si>
  <si>
    <t>HR68A3549</t>
  </si>
  <si>
    <t>321522206872</t>
  </si>
  <si>
    <t>321522206872 - 13/11/2022 05:12:00</t>
  </si>
  <si>
    <t>391522187015</t>
  </si>
  <si>
    <t>05AAJFG0319D1ZZ / GANESH METAL INDUSTRIES</t>
  </si>
  <si>
    <t>05AAECM6380J1ZA / MR HEALTH CARE</t>
  </si>
  <si>
    <t>391522187015 - 13/11/2022 00:02:00</t>
  </si>
  <si>
    <t>PP CAP PLAIN SILVER 22MM31104</t>
  </si>
  <si>
    <t>381522215511</t>
  </si>
  <si>
    <t>381522215511 - 13/11/2022 00:02:00</t>
  </si>
  <si>
    <t>361522224751</t>
  </si>
  <si>
    <t>361522224751 - 13/11/2022 00:02:00</t>
  </si>
  <si>
    <t>311522225270</t>
  </si>
  <si>
    <t>311522225270 - 13/11/2022 00:02:00</t>
  </si>
  <si>
    <t>371522288130</t>
  </si>
  <si>
    <t>371522288130 - 12/11/2022 19:29:00</t>
  </si>
  <si>
    <t>381521266130</t>
  </si>
  <si>
    <t>381521266130 - 10/11/2022 22:07:00</t>
  </si>
  <si>
    <t>STRIP FOIL PRINTED AND PLAIN</t>
  </si>
  <si>
    <t>361529351375</t>
  </si>
  <si>
    <t>361529351375 - 29/11/2022 22:32:00</t>
  </si>
  <si>
    <t>331524773702</t>
  </si>
  <si>
    <t>05CHTPG1810J1ZD / VAIBHAV LAXMI ENTERPRISES</t>
  </si>
  <si>
    <t>331524773702 - 18/11/2022 17:33:00</t>
  </si>
  <si>
    <t>UK06CA4363</t>
  </si>
  <si>
    <t>281513133281</t>
  </si>
  <si>
    <t>27AABCS4582P1ZP / SHUBHAM PHARMACHEM PVT LTD</t>
  </si>
  <si>
    <t>RAHNAL VILLAGE BHIWANDI  THANE / 421302</t>
  </si>
  <si>
    <t>281513133281 - 26/11/2022 18:26:00</t>
  </si>
  <si>
    <t>USP</t>
  </si>
  <si>
    <t>291512250993</t>
  </si>
  <si>
    <t>291512250993 - 24/11/2022 23:19:00</t>
  </si>
  <si>
    <t>251512447720</t>
  </si>
  <si>
    <t>27AAJFN1731A1ZQ / NEELRAJ EXIM</t>
  </si>
  <si>
    <t>Muzaffarnagar / 251203</t>
  </si>
  <si>
    <t>251512447720 - 24/11/2022 16:36:00</t>
  </si>
  <si>
    <t>PARACETAMOL IP</t>
  </si>
  <si>
    <t>UP12BT5163</t>
  </si>
  <si>
    <t>241511268570</t>
  </si>
  <si>
    <t>241511268570 - 22/11/2022 23:51:00</t>
  </si>
  <si>
    <t>291509811899</t>
  </si>
  <si>
    <t>291509811899 - 22/11/2022 18:39:00</t>
  </si>
  <si>
    <t>251510922500</t>
  </si>
  <si>
    <t>27AABCP3959K1ZZ / PRAGATI RAW PHARMA PVT. LTD.</t>
  </si>
  <si>
    <t>251510922500 - 22/11/2022 18:39:00</t>
  </si>
  <si>
    <t>OFLOXACIN</t>
  </si>
  <si>
    <t>261507817890</t>
  </si>
  <si>
    <t>261507817890 - 17/11/2022 14:46:00</t>
  </si>
  <si>
    <t>DL01GC8971</t>
  </si>
  <si>
    <t>201506840451</t>
  </si>
  <si>
    <t>201506840451 - 15/11/2022 17:40:00</t>
  </si>
  <si>
    <t>DOXOFYLLINE IP</t>
  </si>
  <si>
    <t>HR55X8087</t>
  </si>
  <si>
    <t>211507331548</t>
  </si>
  <si>
    <t>211507331548 - 14/11/2022 18:53:00</t>
  </si>
  <si>
    <t>MONTELUKAST SODIUM IP</t>
  </si>
  <si>
    <t>261507084788</t>
  </si>
  <si>
    <t>261507084788 - 14/11/2022 17:52:00</t>
  </si>
  <si>
    <t>DL01MA0529</t>
  </si>
  <si>
    <t>221506854461</t>
  </si>
  <si>
    <t>221506854461 - 14/11/2022 17:52:00</t>
  </si>
  <si>
    <t>271502324260</t>
  </si>
  <si>
    <t>27AACPS7188P1ZP / FILTER WOVEN INDIA</t>
  </si>
  <si>
    <t>Mumbai Suburban / 400059</t>
  </si>
  <si>
    <t>271502324260 - 01/11/2022 20:48:00</t>
  </si>
  <si>
    <t>SIEVES AND SCREEN</t>
  </si>
  <si>
    <t>UK18CA6736</t>
  </si>
  <si>
    <t>271526384170</t>
  </si>
  <si>
    <t>271526384170 - 31/12/2022 15:13:00</t>
  </si>
  <si>
    <t>METHOCARBAMOL</t>
  </si>
  <si>
    <t>291528371527</t>
  </si>
  <si>
    <t>291528371527 - 30/12/2022 16:58:00</t>
  </si>
  <si>
    <t>29419020</t>
  </si>
  <si>
    <t>231525666994</t>
  </si>
  <si>
    <t>231525666994 - 27/12/2022 18:03:00</t>
  </si>
  <si>
    <t>231525335544</t>
  </si>
  <si>
    <t>231525335544 - 25/12/2022 01:38:00</t>
  </si>
  <si>
    <t>231524588404</t>
  </si>
  <si>
    <t>231524588404 - 24/12/2022 17:23:00</t>
  </si>
  <si>
    <t>DL01MA0588</t>
  </si>
  <si>
    <t>261523973978</t>
  </si>
  <si>
    <t>27AUMPS2101C1ZY / ISHIKA INTERNATIONAL</t>
  </si>
  <si>
    <t>Thane / 421302</t>
  </si>
  <si>
    <t>261523973978 - 22/12/2022 17:22:00</t>
  </si>
  <si>
    <t>241522538392</t>
  </si>
  <si>
    <t>27AAACS0699E1ZB / SUNSHINE ORGANICS PVT LTD</t>
  </si>
  <si>
    <t>Palghar / 401506</t>
  </si>
  <si>
    <t>RAMNAGAR, DIST- NAINITAL / 244715</t>
  </si>
  <si>
    <t>241522538392 - 18/12/2022 10:25:00</t>
  </si>
  <si>
    <t>MAGNESIUM STEARATE IP</t>
  </si>
  <si>
    <t>UK18ER1439</t>
  </si>
  <si>
    <t>281517534013</t>
  </si>
  <si>
    <t>281517534013 - 08/12/2022 16:34:00</t>
  </si>
  <si>
    <t>UK06CB7951</t>
  </si>
  <si>
    <t>221514510513</t>
  </si>
  <si>
    <t>221514510513 - 02/12/2022 17:09:00</t>
  </si>
  <si>
    <t>281526747235</t>
  </si>
  <si>
    <t>281526747235 - 30/12/2022 18:40:00</t>
  </si>
  <si>
    <t>281526360227</t>
  </si>
  <si>
    <t>281526360227 - 27/12/2022 20:39:00</t>
  </si>
  <si>
    <t>231525549299</t>
  </si>
  <si>
    <t>231525549299 - 26/12/2022 17:25:00</t>
  </si>
  <si>
    <t>HR55AA5732</t>
  </si>
  <si>
    <t>231524644623</t>
  </si>
  <si>
    <t>231524644623 - 24/12/2022 19:14:00</t>
  </si>
  <si>
    <t>HR38S4737</t>
  </si>
  <si>
    <t>211524128882</t>
  </si>
  <si>
    <t>211524128882 - 22/12/2022 17:22:00</t>
  </si>
  <si>
    <t>DAPOXETINE HYDROCHLORIDE IP</t>
  </si>
  <si>
    <t>211522084432</t>
  </si>
  <si>
    <t>211522084432 - 17/12/2022 18:46:00</t>
  </si>
  <si>
    <t>211516353872</t>
  </si>
  <si>
    <t>211516353872 - 05/12/2022 12:21:00</t>
  </si>
  <si>
    <t>281515712257</t>
  </si>
  <si>
    <t>281515712257 - 01/12/2022 17:15:00</t>
  </si>
  <si>
    <t>271525166496</t>
  </si>
  <si>
    <t>271525166496 - 23/12/2022 15:29:00</t>
  </si>
  <si>
    <t>ASCORBIC ACID IP</t>
  </si>
  <si>
    <t>391537662239</t>
  </si>
  <si>
    <t>391537662239 - 19/12/2022 17:54:00</t>
  </si>
  <si>
    <t>361535054947</t>
  </si>
  <si>
    <t>361535054947 - 13/12/2022 15:16:00</t>
  </si>
  <si>
    <t>HDPE 100ML DSB 22GM (100ML MARKING)</t>
  </si>
  <si>
    <t>UP25CT7679</t>
  </si>
  <si>
    <t>381533211988</t>
  </si>
  <si>
    <t>381533211988 - 08/12/2022 20:01:00</t>
  </si>
  <si>
    <t>UK06TA4820</t>
  </si>
  <si>
    <t>341530687739</t>
  </si>
  <si>
    <t>341530687739 - 02/12/2022 19:04:00</t>
  </si>
  <si>
    <t>331542707332</t>
  </si>
  <si>
    <t>331542707332 - 31/12/2022 17:59:00</t>
  </si>
  <si>
    <t>Sterio</t>
  </si>
  <si>
    <t>UK18ER1223</t>
  </si>
  <si>
    <t>391541689349</t>
  </si>
  <si>
    <t>391541689349 - 29/12/2022 23:17:00</t>
  </si>
  <si>
    <t>361540959963</t>
  </si>
  <si>
    <t>361540959963 - 27/12/2022 19:53:00</t>
  </si>
  <si>
    <t>301540047471</t>
  </si>
  <si>
    <t>05ABNFA2675D1ZK / AURA PACKAGING</t>
  </si>
  <si>
    <t>301540047471 - 24/12/2022 20:02:00</t>
  </si>
  <si>
    <t>UK06CA8352</t>
  </si>
  <si>
    <t>371538031739</t>
  </si>
  <si>
    <t>371538031739 - 20/12/2022 22:47:00</t>
  </si>
  <si>
    <t>CEFPODOXIME PROXETIL IP COMPACTED (COVALENT)</t>
  </si>
  <si>
    <t>381536358703</t>
  </si>
  <si>
    <t>baddi / 173205</t>
  </si>
  <si>
    <t>Kashipur RAMNAGAR / 244715</t>
  </si>
  <si>
    <t>381536358703 - 16/12/2022 19:40:00</t>
  </si>
  <si>
    <t>321535887635</t>
  </si>
  <si>
    <t>06ABXPB5393D1ZH / DURGA ENTERPRISES</t>
  </si>
  <si>
    <t>05AAECM6380J1ZA / Mr Health Care (P) Ltd.</t>
  </si>
  <si>
    <t>PANIPAT / 132103</t>
  </si>
  <si>
    <t>321535887635 - 16/12/2022 11:27:00</t>
  </si>
  <si>
    <t>BLANKET</t>
  </si>
  <si>
    <t>361535521003</t>
  </si>
  <si>
    <t>361535521003 - 14/12/2022 23:30:00</t>
  </si>
  <si>
    <t>DICYCLOMINE HYDROCHLORIDE IP (SHREEPATI)</t>
  </si>
  <si>
    <t>301535078572</t>
  </si>
  <si>
    <t>301535078572 - 13/12/2022 19:18:00</t>
  </si>
  <si>
    <t>391534608380</t>
  </si>
  <si>
    <t>391534608380 - 12/12/2022 20:31:00</t>
  </si>
  <si>
    <t>Propylene Glycol (Manali)</t>
  </si>
  <si>
    <t>301533612819</t>
  </si>
  <si>
    <t>301533612819 - 09/12/2022 20:39:00</t>
  </si>
  <si>
    <t>LAMITUBE CURESHINE 15GM</t>
  </si>
  <si>
    <t>371532217179</t>
  </si>
  <si>
    <t>371532217179 - 06/12/2022 19:54:00</t>
  </si>
  <si>
    <t>LACTOSE 200 MESH</t>
  </si>
  <si>
    <t>341531333860</t>
  </si>
  <si>
    <t>341531333860 - 04/12/2022 01:02:00</t>
  </si>
  <si>
    <t>371530704053</t>
  </si>
  <si>
    <t>371530704053 - 02/12/2022 23:44:00</t>
  </si>
  <si>
    <t>311530727586</t>
  </si>
  <si>
    <t>311530727586 - 02/12/2022 15:19:00</t>
  </si>
  <si>
    <t>371530399619</t>
  </si>
  <si>
    <t>371530399619 - 01/12/2022 23:57:00</t>
  </si>
  <si>
    <t>351542637598</t>
  </si>
  <si>
    <t>351542637598 - 31/12/2022 16:21:00</t>
  </si>
  <si>
    <t>321539978328</t>
  </si>
  <si>
    <t>05AGOPJ9814D1ZC / Vatsalya Trading Corporation - FY 22-23</t>
  </si>
  <si>
    <t>05AAECM6380J1ZA / M.R.Healthcare Pvt Ltd</t>
  </si>
  <si>
    <t>Ramnagar / 247415</t>
  </si>
  <si>
    <t>321539978328 - 29/12/2022 20:24:00</t>
  </si>
  <si>
    <t>Acetonitrile HPLC 2.5 Ltr</t>
  </si>
  <si>
    <t>301540915433</t>
  </si>
  <si>
    <t>301540915433 - 28/12/2022 00:05:00</t>
  </si>
  <si>
    <t>MELOXICAM IP (APEX HEALTHCARE)</t>
  </si>
  <si>
    <t>371540539573</t>
  </si>
  <si>
    <t>371540539573 - 27/12/2022 00:20:00</t>
  </si>
  <si>
    <t>301539514478</t>
  </si>
  <si>
    <t>02AAJFT0869K1ZY / TRADEX INDIA</t>
  </si>
  <si>
    <t>301539514478 - 23/12/2022 20:04:00</t>
  </si>
  <si>
    <t>331537973146</t>
  </si>
  <si>
    <t>331537973146 - 20/12/2022 20:30:00</t>
  </si>
  <si>
    <t>341536779689</t>
  </si>
  <si>
    <t>341536779689 - 17/12/2022 18:00:00</t>
  </si>
  <si>
    <t>AMOXICILLIN TRI. IP/BP COMP</t>
  </si>
  <si>
    <t>321536433776</t>
  </si>
  <si>
    <t>321536433776 - 16/12/2022 20:51:00</t>
  </si>
  <si>
    <t>351535897761</t>
  </si>
  <si>
    <t>Panipat / 132103</t>
  </si>
  <si>
    <t>351535897761 - 16/12/2022 11:27:00</t>
  </si>
  <si>
    <t>381535899654</t>
  </si>
  <si>
    <t>381535899654 - 16/12/2022 11:27:00</t>
  </si>
  <si>
    <t>331536125595</t>
  </si>
  <si>
    <t>331536125595 - 16/12/2022 00:00:00</t>
  </si>
  <si>
    <t>Rabeprazole EC 20 mg + Levosulpiride SR 75 mg Pellets</t>
  </si>
  <si>
    <t>301535888223</t>
  </si>
  <si>
    <t>301535888223 - 15/12/2022 19:23:00</t>
  </si>
  <si>
    <t>311535557256</t>
  </si>
  <si>
    <t>311535557256 - 14/12/2022 23:30:00</t>
  </si>
  <si>
    <t>341534738330</t>
  </si>
  <si>
    <t>341534738330 - 12/12/2022 21:36:00</t>
  </si>
  <si>
    <t>371533956578</t>
  </si>
  <si>
    <t>05DFPPK9302L1Z1 / M/S GN MEDI SOLUTIONS</t>
  </si>
  <si>
    <t>371533956578 - 10/12/2022 22:58:00</t>
  </si>
  <si>
    <t>381533669385</t>
  </si>
  <si>
    <t>381533669385 - 09/12/2022 23:01:00</t>
  </si>
  <si>
    <t>391533114309</t>
  </si>
  <si>
    <t>05HVVPS7064F1ZS / QUANTUM PHARMA CHEM</t>
  </si>
  <si>
    <t>391533114309 - 08/12/2022 16:15:00</t>
  </si>
  <si>
    <t>371532739727</t>
  </si>
  <si>
    <t>371532739727 - 07/12/2022 22:29:00</t>
  </si>
  <si>
    <t>351531795779</t>
  </si>
  <si>
    <t>351531795779 - 06/12/2022 00:08:00</t>
  </si>
  <si>
    <t>CEFPODOXIME PROXETIL COMPACTED IP (AUROBINDO)</t>
  </si>
  <si>
    <t>351530741744</t>
  </si>
  <si>
    <t>351530741744 - 02/12/2022 15:40:00</t>
  </si>
  <si>
    <t>321542177321</t>
  </si>
  <si>
    <t>321542177321 - 30/12/2022 23:55:00</t>
  </si>
  <si>
    <t>321541665955</t>
  </si>
  <si>
    <t>321541665955 - 30/12/2022 20:32:00</t>
  </si>
  <si>
    <t>HR39E9568</t>
  </si>
  <si>
    <t>391540970190</t>
  </si>
  <si>
    <t>391540970190 - 27/12/2022 21:11:00</t>
  </si>
  <si>
    <t>UK06CA7184</t>
  </si>
  <si>
    <t>361540391644</t>
  </si>
  <si>
    <t>361540391644 - 26/12/2022 14:16:00</t>
  </si>
  <si>
    <t>371539937762</t>
  </si>
  <si>
    <t>371539937762 - 24/12/2022 22:19:00</t>
  </si>
  <si>
    <t>341539043437</t>
  </si>
  <si>
    <t>341539043437 - 22/12/2022 22:43:00</t>
  </si>
  <si>
    <t>341538508346</t>
  </si>
  <si>
    <t>341538508346 - 22/12/2022 01:03:00</t>
  </si>
  <si>
    <t>ACECLOFENAC IP ( MAKE - ORGANO )</t>
  </si>
  <si>
    <t>351537603760</t>
  </si>
  <si>
    <t>351537603760 - 19/12/2022 16:46:00</t>
  </si>
  <si>
    <t>PET BOTTLES 30ML 7.5GM RD AMB 1344</t>
  </si>
  <si>
    <t>331536628528</t>
  </si>
  <si>
    <t>331536628528 - 16/12/2022 18:35:00</t>
  </si>
  <si>
    <t>341536087298</t>
  </si>
  <si>
    <t>341536087298 - 16/12/2022 00:00:00</t>
  </si>
  <si>
    <t>311535665025</t>
  </si>
  <si>
    <t>311535665025 - 14/12/2022 23:30:00</t>
  </si>
  <si>
    <t>341534297604</t>
  </si>
  <si>
    <t>341534297604 - 11/12/2022 15:10:00</t>
  </si>
  <si>
    <t>UK04CA0696</t>
  </si>
  <si>
    <t>301533429251</t>
  </si>
  <si>
    <t>301533429251 - 09/12/2022 12:05:00</t>
  </si>
  <si>
    <t>OFLOXACIN IP</t>
  </si>
  <si>
    <t>UK04CB5708</t>
  </si>
  <si>
    <t>311532294033</t>
  </si>
  <si>
    <t>311532294033 - 07/12/2022 19:46:00</t>
  </si>
  <si>
    <t>DRUG</t>
  </si>
  <si>
    <t>491301213460</t>
  </si>
  <si>
    <t>491301213460 - 24/12/2022 08:13:00</t>
  </si>
  <si>
    <t>UK06CB5017</t>
  </si>
  <si>
    <t>671505977249</t>
  </si>
  <si>
    <t>671505977249 - 30/12/2022 17:45:00</t>
  </si>
  <si>
    <t>Pharma grade - 01 - Orange - 0.25mm Thick - 158mm Width - Paper Core 9 - BOX - WL</t>
  </si>
  <si>
    <t>UP21CT7786</t>
  </si>
  <si>
    <t>601500334170</t>
  </si>
  <si>
    <t>601500334170 - 17/12/2022 13:12:00</t>
  </si>
  <si>
    <t>Pharma grade - 01 - Blue Tone - 0.25mm Thick - 198mm Width - Paper Core 9 - BOX - WL</t>
  </si>
  <si>
    <t>UK06TA5256</t>
  </si>
  <si>
    <t>691504437951</t>
  </si>
  <si>
    <t>691504437951 - 29/12/2022 20:07:00</t>
  </si>
  <si>
    <t>661495769922</t>
  </si>
  <si>
    <t>661495769922 - 07/12/2022 12:38:00</t>
  </si>
  <si>
    <t>HR38S4738</t>
  </si>
  <si>
    <t>731305527647</t>
  </si>
  <si>
    <t>07AAHCP4772A1ZJ / Parkleton Private Limited</t>
  </si>
  <si>
    <t>Delhi / 110085</t>
  </si>
  <si>
    <t>731305527647 - 20/12/2022 22:59:00</t>
  </si>
  <si>
    <t>Cefixime Trihydrate Compacted IP (29419090)</t>
  </si>
  <si>
    <t>731307166493</t>
  </si>
  <si>
    <t>731307166493 - 27/12/2022 21:33:00</t>
  </si>
  <si>
    <t>BLUE/BLUE - 2</t>
  </si>
  <si>
    <t>791305036604</t>
  </si>
  <si>
    <t>791305036604 - 16/12/2022 21:13:00</t>
  </si>
  <si>
    <t>721304308321</t>
  </si>
  <si>
    <t>721304308321 - 13/12/2022 23:02:00</t>
  </si>
  <si>
    <t>751303818721</t>
  </si>
  <si>
    <t>751303818721 - 11/12/2022 02:03:00</t>
  </si>
  <si>
    <t>PARACETAMOL IP(FARMSON)</t>
  </si>
  <si>
    <t>HR55W0301</t>
  </si>
  <si>
    <t>761308358717</t>
  </si>
  <si>
    <t>08AAACD2877R1ZZ / DHANUKA LABORATORIES LIMITED</t>
  </si>
  <si>
    <t>Jaipur / 303108</t>
  </si>
  <si>
    <t>761308358717 - 31/12/2022 12:59:00</t>
  </si>
  <si>
    <t>721308123902</t>
  </si>
  <si>
    <t>721308123902 - 30/12/2022 21:21:00</t>
  </si>
  <si>
    <t>PARACETAMOL-IP(SARA)</t>
  </si>
  <si>
    <t>UK18CA6361</t>
  </si>
  <si>
    <t>751307552429</t>
  </si>
  <si>
    <t>751307552429 - 28/12/2022 21:31:00</t>
  </si>
  <si>
    <t>731307128688</t>
  </si>
  <si>
    <t>731307128688 - 27/12/2022 01:23:00</t>
  </si>
  <si>
    <t>NIMESULIDE-BP (ALKA)</t>
  </si>
  <si>
    <t>791306826299</t>
  </si>
  <si>
    <t>791306826299 - 24/12/2022 22:26:00</t>
  </si>
  <si>
    <t>IBUPROFEN IP SN GRADE(SOLARA)</t>
  </si>
  <si>
    <t>771306312255</t>
  </si>
  <si>
    <t>771306312255 - 23/12/2022 21:27:00</t>
  </si>
  <si>
    <t>721306085774</t>
  </si>
  <si>
    <t>721306085774 - 21/12/2022 14:36:00</t>
  </si>
  <si>
    <t>741305363479</t>
  </si>
  <si>
    <t>741305363479 - 17/12/2022 21:50:00</t>
  </si>
  <si>
    <t>711304309305</t>
  </si>
  <si>
    <t>711304309305 - 13/12/2022 23:02:00</t>
  </si>
  <si>
    <t>721303751229</t>
  </si>
  <si>
    <t>721303751229 - 10/12/2022 22:28:00</t>
  </si>
  <si>
    <t>711303502679</t>
  </si>
  <si>
    <t>711303502679 - 10/12/2022 03:31:00</t>
  </si>
  <si>
    <t>781303154752</t>
  </si>
  <si>
    <t>781303154752 - 07/12/2022 21:23:00</t>
  </si>
  <si>
    <t>701302419517</t>
  </si>
  <si>
    <t>701302419517 - 03/12/2022 20:28:00</t>
  </si>
  <si>
    <t>711301555378</t>
  </si>
  <si>
    <t>711301555378 - 01/12/2022 21:56:00</t>
  </si>
  <si>
    <t>701313657515</t>
  </si>
  <si>
    <t>701313657515 - 25/01/2023 21:49:00</t>
  </si>
  <si>
    <t>781309444392</t>
  </si>
  <si>
    <t>781309444392 - 05/01/2023 18:38:00</t>
  </si>
  <si>
    <t>731309147470</t>
  </si>
  <si>
    <t>08AGTPB5912H1ZA / ONS PHARMACEUTICAL</t>
  </si>
  <si>
    <t>Jaipur / 302003</t>
  </si>
  <si>
    <t>731309147470 - 04/01/2023 20:21:00</t>
  </si>
  <si>
    <t>UK06CA9903</t>
  </si>
  <si>
    <t>701308875586</t>
  </si>
  <si>
    <t>701308875586 - 03/01/2023 23:12:00</t>
  </si>
  <si>
    <t>FLAVOURS</t>
  </si>
  <si>
    <t>781313635221</t>
  </si>
  <si>
    <t>781313635221 - 25/01/2023 21:49:00</t>
  </si>
  <si>
    <t>771309613522</t>
  </si>
  <si>
    <t>771309613522 - 07/01/2023 22:18:00</t>
  </si>
  <si>
    <t>731309564570</t>
  </si>
  <si>
    <t>731309564570 - 07/01/2023 02:47:00</t>
  </si>
  <si>
    <t>UP22T9878</t>
  </si>
  <si>
    <t>791309342507</t>
  </si>
  <si>
    <t>791309342507 - 05/01/2023 22:16:00</t>
  </si>
  <si>
    <t>601516618521</t>
  </si>
  <si>
    <t>601516618521 - 25/01/2023 16:52:00</t>
  </si>
  <si>
    <t>UK06CA1176</t>
  </si>
  <si>
    <t>601514831980</t>
  </si>
  <si>
    <t>24AAJCS6842G1Z7 / SUPER LIFE CARE (P.) LTD.</t>
  </si>
  <si>
    <t>Ahmedabad / 382330</t>
  </si>
  <si>
    <t>601514831980 - 25/01/2023 02:13:00</t>
  </si>
  <si>
    <t>651512664536</t>
  </si>
  <si>
    <t>651512664536 - 18/01/2023 17:53:00</t>
  </si>
  <si>
    <t>Colorcoat EC4S-C (White) (25 Kg)</t>
  </si>
  <si>
    <t>UP14KT8450</t>
  </si>
  <si>
    <t>631511109764</t>
  </si>
  <si>
    <t>631511109764 - 12/01/2023 20:12:00</t>
  </si>
  <si>
    <t>UK19CA5757</t>
  </si>
  <si>
    <t>691507089692</t>
  </si>
  <si>
    <t>24AACFK3554D1ZR / KUMAR INDUSTRIES</t>
  </si>
  <si>
    <t>AHMEDABAD / 382330</t>
  </si>
  <si>
    <t>691507089692 - 05/01/2023 22:14:00</t>
  </si>
  <si>
    <t>MEFENAMIC ACID IP</t>
  </si>
  <si>
    <t>361502891913</t>
  </si>
  <si>
    <t>361502891913 - 29/09/2022 00:12:00</t>
  </si>
  <si>
    <t>341502196908</t>
  </si>
  <si>
    <t>341502196908 - 27/09/2022 23:40:00</t>
  </si>
  <si>
    <t>PROPYLENE GLYCOL USP</t>
  </si>
  <si>
    <t>381502199516</t>
  </si>
  <si>
    <t>381502199516 - 27/09/2022 21:50:00</t>
  </si>
  <si>
    <t>DICYCLOMINE HCL IP (INDOCO)</t>
  </si>
  <si>
    <t>391498322331</t>
  </si>
  <si>
    <t>391498322331 - 20/09/2022 00:37:00</t>
  </si>
  <si>
    <t>321496397132</t>
  </si>
  <si>
    <t>03AABCS6468G1ZD / Nectar Lifesciences Limited</t>
  </si>
  <si>
    <t>Derabassi-(Punjab) / 140507</t>
  </si>
  <si>
    <t>RAMNAGAR-(Uttarakhand) / 244715</t>
  </si>
  <si>
    <t>321496397132 - 14/09/2022 17:17:00</t>
  </si>
  <si>
    <t>CEFUROXIME AXETIL (AMORPHOUS) IP</t>
  </si>
  <si>
    <t>311493820456</t>
  </si>
  <si>
    <t>311493820456 - 08/09/2022 22:01:00</t>
  </si>
  <si>
    <t>311503397105</t>
  </si>
  <si>
    <t>311503397105 - 29/09/2022 23:06:00</t>
  </si>
  <si>
    <t>MT GOLDEN</t>
  </si>
  <si>
    <t>371503480614</t>
  </si>
  <si>
    <t>05ACMPA7743A1Z1 / M/S VIPIN KUMAR UDIT KUMAR</t>
  </si>
  <si>
    <t>371503480614 - 29/09/2022 18:12:00</t>
  </si>
  <si>
    <t>ORCHID JR GEFT SET</t>
  </si>
  <si>
    <t>UK06CB7163</t>
  </si>
  <si>
    <t>341503183558</t>
  </si>
  <si>
    <t>RAMNAGAR NAINITAL / 244715</t>
  </si>
  <si>
    <t>341503183558 - 29/09/2022 11:43:00</t>
  </si>
  <si>
    <t>503X331X288(07 PLY C BOX)</t>
  </si>
  <si>
    <t>UK06CA7002</t>
  </si>
  <si>
    <t>361502384736</t>
  </si>
  <si>
    <t>361502384736 - 28/09/2022 00:45:00</t>
  </si>
  <si>
    <t>311501729610</t>
  </si>
  <si>
    <t>05AAACU6175D1ZI / UNNATI PHARMACEUTICALS PVT LTD</t>
  </si>
  <si>
    <t>311501729610 - 28/09/2022 00:45:00</t>
  </si>
  <si>
    <t>P.V.P.K.-30</t>
  </si>
  <si>
    <t>381502300981</t>
  </si>
  <si>
    <t>381502300981 - 27/09/2022 21:50:00</t>
  </si>
  <si>
    <t>361502188815</t>
  </si>
  <si>
    <t>361502188815 - 27/09/2022 21:50:00</t>
  </si>
  <si>
    <t>381502139190</t>
  </si>
  <si>
    <t>381502139190 - 27/09/2022 21:50:00</t>
  </si>
  <si>
    <t>391502329161</t>
  </si>
  <si>
    <t>02AAACU6175D1ZO / UNNATI PHARMACEUTICALS PVT LTD</t>
  </si>
  <si>
    <t>391502329161 - 27/09/2022 21:13:00</t>
  </si>
  <si>
    <t>WACKER HDK N-20</t>
  </si>
  <si>
    <t>351502337089</t>
  </si>
  <si>
    <t>351502337089 - 27/09/2022 18:12:00</t>
  </si>
  <si>
    <t>UK06CB4708</t>
  </si>
  <si>
    <t>341500967195</t>
  </si>
  <si>
    <t>341500967195 - 24/09/2022 23:42:00</t>
  </si>
  <si>
    <t>371500921989</t>
  </si>
  <si>
    <t>371500921989 - 24/09/2022 21:06:00</t>
  </si>
  <si>
    <t>391500987929</t>
  </si>
  <si>
    <t>391500987929 - 24/09/2022 15:53:00</t>
  </si>
  <si>
    <t>361500105100</t>
  </si>
  <si>
    <t>361500105100 - 22/09/2022 23:35:00</t>
  </si>
  <si>
    <t>311499892264</t>
  </si>
  <si>
    <t>311499892264 - 22/09/2022 23:35:00</t>
  </si>
  <si>
    <t>371499962284</t>
  </si>
  <si>
    <t>371499962284 - 22/09/2022 14:21:00</t>
  </si>
  <si>
    <t>UK18CA6794</t>
  </si>
  <si>
    <t>391499531556</t>
  </si>
  <si>
    <t>391499531556 - 21/09/2022 23:18:00</t>
  </si>
  <si>
    <t>AZITHROMYCIN IP (CSPC)</t>
  </si>
  <si>
    <t>391499642618</t>
  </si>
  <si>
    <t>391499642618 - 21/09/2022 23:18:00</t>
  </si>
  <si>
    <t>PP CAP PLAIN SILVER 25MM31013</t>
  </si>
  <si>
    <t>331499619177</t>
  </si>
  <si>
    <t>331499619177 - 21/09/2022 18:09:00</t>
  </si>
  <si>
    <t>UK06CB7086</t>
  </si>
  <si>
    <t>301498980611</t>
  </si>
  <si>
    <t>301498980611 - 20/09/2022 22:40:00</t>
  </si>
  <si>
    <t>METFORMIN HCL IP (AARTI DRUGS)</t>
  </si>
  <si>
    <t>381498286050</t>
  </si>
  <si>
    <t>381498286050 - 20/09/2022 00:37:00</t>
  </si>
  <si>
    <t>301498549128</t>
  </si>
  <si>
    <t>301498549128 - 20/09/2022 00:37:00</t>
  </si>
  <si>
    <t>STRIP PAPER PRINTED</t>
  </si>
  <si>
    <t>UK18CS4303</t>
  </si>
  <si>
    <t>381497735102</t>
  </si>
  <si>
    <t>381497735102 - 17/09/2022 23:54:00</t>
  </si>
  <si>
    <t>341497841832</t>
  </si>
  <si>
    <t>341497841832 - 17/09/2022 21:54:00</t>
  </si>
  <si>
    <t>DL01LAC2874</t>
  </si>
  <si>
    <t>391497441091</t>
  </si>
  <si>
    <t>391497441091 - 16/09/2022 22:53:00</t>
  </si>
  <si>
    <t>371497304699</t>
  </si>
  <si>
    <t>371497304699 - 16/09/2022 22:53:00</t>
  </si>
  <si>
    <t>371497445026</t>
  </si>
  <si>
    <t>05ABIPJ4175A1Z2 / MAHAVEER AGENCIES, HARIDWAR</t>
  </si>
  <si>
    <t>371497445026 - 16/09/2022 19:45:00</t>
  </si>
  <si>
    <t>ISO PROPYL ALCOHOL IP.</t>
  </si>
  <si>
    <t>331497358230</t>
  </si>
  <si>
    <t>331497358230 - 16/09/2022 16:09:00</t>
  </si>
  <si>
    <t>391497356229</t>
  </si>
  <si>
    <t>391497356229 - 16/09/2022 16:06:00</t>
  </si>
  <si>
    <t>331496447737</t>
  </si>
  <si>
    <t>331496447737 - 15/09/2022 00:43:00</t>
  </si>
  <si>
    <t>331496435633</t>
  </si>
  <si>
    <t>331496435633 - 14/09/2022 20:43:00</t>
  </si>
  <si>
    <t>301496106941</t>
  </si>
  <si>
    <t>301496106941 - 14/09/2022 19:36:00</t>
  </si>
  <si>
    <t>CROSS CARMELOSE SODIUM BP</t>
  </si>
  <si>
    <t>331495892532</t>
  </si>
  <si>
    <t>331495892532 - 14/09/2022 00:39:00</t>
  </si>
  <si>
    <t>331495912939</t>
  </si>
  <si>
    <t>331495912939 - 13/09/2022 17:47:00</t>
  </si>
  <si>
    <t>CEFPODOXIME PROXETIL IP (COMP.)</t>
  </si>
  <si>
    <t>UK12CB0926</t>
  </si>
  <si>
    <t>301494993978</t>
  </si>
  <si>
    <t>301494993978 - 11/09/2022 16:31:00</t>
  </si>
  <si>
    <t>465X375X395(5 PLY C BOX)</t>
  </si>
  <si>
    <t>331494680516</t>
  </si>
  <si>
    <t>331494680516 - 10/09/2022 19:41:00</t>
  </si>
  <si>
    <t>AMBROXOL HYDROCHLORIDE</t>
  </si>
  <si>
    <t>331494161529</t>
  </si>
  <si>
    <t>331494161529 - 09/09/2022 22:26:00</t>
  </si>
  <si>
    <t>381493646233</t>
  </si>
  <si>
    <t>381493646233 - 08/09/2022 23:37:00</t>
  </si>
  <si>
    <t>351493814943</t>
  </si>
  <si>
    <t>351493814943 - 08/09/2022 23:37:00</t>
  </si>
  <si>
    <t>381493704180</t>
  </si>
  <si>
    <t>381493704180 - 08/09/2022 23:37:00</t>
  </si>
  <si>
    <t>361491192237</t>
  </si>
  <si>
    <t>361491192237 - 07/09/2022 22:50:00</t>
  </si>
  <si>
    <t>HP12G9896</t>
  </si>
  <si>
    <t>361493093178</t>
  </si>
  <si>
    <t>361493093178 - 07/09/2022 22:46:00</t>
  </si>
  <si>
    <t>311493333277</t>
  </si>
  <si>
    <t>311493333277 - 07/09/2022 18:34:00</t>
  </si>
  <si>
    <t>printing roller</t>
  </si>
  <si>
    <t>311493332191</t>
  </si>
  <si>
    <t>311493332191 - 07/09/2022 18:33:00</t>
  </si>
  <si>
    <t>351493207172</t>
  </si>
  <si>
    <t>351493207172 - 07/09/2022 15:53:00</t>
  </si>
  <si>
    <t>381493163956</t>
  </si>
  <si>
    <t>02CUTPA2142J1ZV / Manish Pharma Drug House</t>
  </si>
  <si>
    <t>381493163956 - 07/09/2022 14:48:00</t>
  </si>
  <si>
    <t>PARACETAMOL IP ( VALIANT )</t>
  </si>
  <si>
    <t>381493006383</t>
  </si>
  <si>
    <t>381493006383 - 07/09/2022 10:08:00</t>
  </si>
  <si>
    <t>301492602810</t>
  </si>
  <si>
    <t>301492602810 - 07/09/2022 00:06:00</t>
  </si>
  <si>
    <t>AMOXICILLIN TRIHYDRATE COMPACTED IP</t>
  </si>
  <si>
    <t>391492149075</t>
  </si>
  <si>
    <t>391492149075 - 05/09/2022 23:47:00</t>
  </si>
  <si>
    <t>351491620959</t>
  </si>
  <si>
    <t>351491620959 - 04/09/2022 17:25:00</t>
  </si>
  <si>
    <t>PARACETAMOL I.P./B.P( PARA )</t>
  </si>
  <si>
    <t>351491708031</t>
  </si>
  <si>
    <t>351491708031 - 04/09/2022 17:25:00</t>
  </si>
  <si>
    <t>371491696167</t>
  </si>
  <si>
    <t>06AHSPG5007A1ZS / Shree Shyam Enterprises</t>
  </si>
  <si>
    <t>371491696167 - 03/09/2022 17:35:00</t>
  </si>
  <si>
    <t>351491047103</t>
  </si>
  <si>
    <t>351491047103 - 02/09/2022 23:43:00</t>
  </si>
  <si>
    <t>331491205552</t>
  </si>
  <si>
    <t>331491205552 - 02/09/2022 23:43:00</t>
  </si>
  <si>
    <t>381491250010</t>
  </si>
  <si>
    <t>381491250010 - 02/09/2022 23:43:00</t>
  </si>
  <si>
    <t>391490741279</t>
  </si>
  <si>
    <t>391490741279 - 01/09/2022 23:43:00</t>
  </si>
  <si>
    <t>CEFIXIME T.H. COMPACTED IP</t>
  </si>
  <si>
    <t>381490749452</t>
  </si>
  <si>
    <t>381490749452 - 01/09/2022 23:43:00</t>
  </si>
  <si>
    <t>ACECLOFENAC IP ( SARA )</t>
  </si>
  <si>
    <t>391490858355</t>
  </si>
  <si>
    <t>391490858355 - 01/09/2022 21:46:00</t>
  </si>
  <si>
    <t>381490171738</t>
  </si>
  <si>
    <t>381490171738 - 01/09/2022 00:57:00</t>
  </si>
  <si>
    <t>371490219291</t>
  </si>
  <si>
    <t>371490219291 - 01/09/2022 00:57:00</t>
  </si>
  <si>
    <t>241486860993</t>
  </si>
  <si>
    <t>241486860993 - 30/09/2022 13:46:00</t>
  </si>
  <si>
    <t>281484907939</t>
  </si>
  <si>
    <t>281484907939 - 26/09/2022 14:04:00</t>
  </si>
  <si>
    <t>241485566104</t>
  </si>
  <si>
    <t>27AABCF2009E1Z7 / FARMACHEM LIFE PRIVATE LIMITED</t>
  </si>
  <si>
    <t>241485566104 - 24/09/2022 19:42:00</t>
  </si>
  <si>
    <t>IP COMPACTED</t>
  </si>
  <si>
    <t>281485993234</t>
  </si>
  <si>
    <t>Bhiwandi-Dist-Thane / 421302</t>
  </si>
  <si>
    <t>281485993234 - 24/09/2022 16:01:00</t>
  </si>
  <si>
    <t>261483635288</t>
  </si>
  <si>
    <t>261483635288 - 22/09/2022 17:19:00</t>
  </si>
  <si>
    <t>AZITHROMYCIN DIHYDRATE</t>
  </si>
  <si>
    <t>241483348421</t>
  </si>
  <si>
    <t>241483348421 - 22/09/2022 16:13:00</t>
  </si>
  <si>
    <t>281480968266</t>
  </si>
  <si>
    <t>27AAGCD6581N1Z0 / DPB PHARMACEUTICALS LIMITED</t>
  </si>
  <si>
    <t>Maharashtra / 421302</t>
  </si>
  <si>
    <t>281480968266 - 19/09/2022 13:39:00</t>
  </si>
  <si>
    <t>CITICOLINE SODIUM IP</t>
  </si>
  <si>
    <t>231481558748</t>
  </si>
  <si>
    <t>27AAACG1463E1ZZ / Gangwal Chemicals Private Limited</t>
  </si>
  <si>
    <t>05AAECM6380J1ZA / MR Healthcare Pvt Ltd</t>
  </si>
  <si>
    <t>231481558748 - 17/09/2022 15:45:00</t>
  </si>
  <si>
    <t>Low Substituted Hydroxy Propyl Cellulose (LP-11)</t>
  </si>
  <si>
    <t>271481652422</t>
  </si>
  <si>
    <t>271481652422 - 16/09/2022 23:08:00</t>
  </si>
  <si>
    <t>FUSIDIC ACID IP/BP</t>
  </si>
  <si>
    <t>UK06CA7927</t>
  </si>
  <si>
    <t>201481208550</t>
  </si>
  <si>
    <t>27AAEFG6529J1Z5 / GORANG INTERNATIONAL</t>
  </si>
  <si>
    <t>05AAECM6380J1ZA / M. R. HEALTHCARE PVT. LTD</t>
  </si>
  <si>
    <t>DIST. NAINIITAL / 244715</t>
  </si>
  <si>
    <t>201481208550 - 16/09/2022 15:34:00</t>
  </si>
  <si>
    <t>CAFFEINE ANHYDROUS</t>
  </si>
  <si>
    <t>271482053947</t>
  </si>
  <si>
    <t>271482053947 - 16/09/2022 14:57:00</t>
  </si>
  <si>
    <t>251479488750</t>
  </si>
  <si>
    <t>251479488750 - 13/09/2022 05:11:00</t>
  </si>
  <si>
    <t>221480086685</t>
  </si>
  <si>
    <t>221480086685 - 12/09/2022 16:44:00</t>
  </si>
  <si>
    <t>201479252655</t>
  </si>
  <si>
    <t>27AAACN3558R1ZT / NECTAR DRUGS PVT.LTD.</t>
  </si>
  <si>
    <t>UTTRAKHAND / 244715</t>
  </si>
  <si>
    <t>201479252655 - 12/09/2022 16:21:00</t>
  </si>
  <si>
    <t>ETORICOXIB</t>
  </si>
  <si>
    <t>271477603603</t>
  </si>
  <si>
    <t>271477603603 - 09/09/2022 13:35:00</t>
  </si>
  <si>
    <t>241477791545</t>
  </si>
  <si>
    <t>27AABFF5289R1ZM / FARMA FUSION, PURNA VILLAGE, BHIWANDI</t>
  </si>
  <si>
    <t>241477791545 - 08/09/2022 00:34:00</t>
  </si>
  <si>
    <t>DAPOXETINE HCL IP</t>
  </si>
  <si>
    <t>201477773215</t>
  </si>
  <si>
    <t>201477773215 - 07/09/2022 17:28:00</t>
  </si>
  <si>
    <t>ATORVASTATIN CALCIUM IP</t>
  </si>
  <si>
    <t>201477962868</t>
  </si>
  <si>
    <t>201477962868 - 07/09/2022 17:27:00</t>
  </si>
  <si>
    <t>211477123765</t>
  </si>
  <si>
    <t>211477123765 - 06/09/2022 18:35:00</t>
  </si>
  <si>
    <t>211476534421</t>
  </si>
  <si>
    <t>211476534421 - 03/09/2022 14:49:00</t>
  </si>
  <si>
    <t>241476020789</t>
  </si>
  <si>
    <t>241476020789 - 02/09/2022 12:51:00</t>
  </si>
  <si>
    <t>201487667784</t>
  </si>
  <si>
    <t>201487667784 - 29/09/2022 15:01:00</t>
  </si>
  <si>
    <t>CEPHALEXIN MONO HYDRATE</t>
  </si>
  <si>
    <t>UK18TA1004</t>
  </si>
  <si>
    <t>271487242678</t>
  </si>
  <si>
    <t>271487242678 - 27/09/2022 18:46:00</t>
  </si>
  <si>
    <t>UK18TA1008</t>
  </si>
  <si>
    <t>251483887927</t>
  </si>
  <si>
    <t>251483887927 - 23/09/2022 21:41:00</t>
  </si>
  <si>
    <t>ONDENSETRON DI HYD .HCL</t>
  </si>
  <si>
    <t>231484393357</t>
  </si>
  <si>
    <t>231484393357 - 23/09/2022 21:41:00</t>
  </si>
  <si>
    <t>231482585084</t>
  </si>
  <si>
    <t>231482585084 - 21/09/2022 14:35:00</t>
  </si>
  <si>
    <t>241482231841</t>
  </si>
  <si>
    <t>241482231841 - 18/09/2022 20:08:00</t>
  </si>
  <si>
    <t>MH04KF5822</t>
  </si>
  <si>
    <t>221480576272</t>
  </si>
  <si>
    <t>221480576272 - 17/09/2022 15:45:00</t>
  </si>
  <si>
    <t>221485231350</t>
  </si>
  <si>
    <t>221485231350 - 26/09/2022 19:01:00</t>
  </si>
  <si>
    <t>111532552962</t>
  </si>
  <si>
    <t>36ADXFS3103L1ZL / S B HEALTHCARE</t>
  </si>
  <si>
    <t>Sangareddy / 502296</t>
  </si>
  <si>
    <t>111532552962 - 26/09/2022 15:42:00</t>
  </si>
  <si>
    <t>Clopidogrel Pellets 50.0</t>
  </si>
  <si>
    <t>281496929017</t>
  </si>
  <si>
    <t>281496929017 - 22/10/2022 22:57:00</t>
  </si>
  <si>
    <t>HR55AG1802</t>
  </si>
  <si>
    <t>211496607550</t>
  </si>
  <si>
    <t>211496607550 - 20/10/2022 19:34:00</t>
  </si>
  <si>
    <t>231496006331</t>
  </si>
  <si>
    <t>231496006331 - 18/10/2022 00:09:00</t>
  </si>
  <si>
    <t>HR38AA4437</t>
  </si>
  <si>
    <t>221493251212</t>
  </si>
  <si>
    <t>27AAAFD0923D1Z3 / DILIPKUMAR &amp; CO.</t>
  </si>
  <si>
    <t>221493251212 - 11/10/2022 18:41:00</t>
  </si>
  <si>
    <t>DOXYCYCLINE HYCLATE</t>
  </si>
  <si>
    <t>261488665714</t>
  </si>
  <si>
    <t>261488665714 - 01/10/2022 16:13:00</t>
  </si>
  <si>
    <t>251500640287</t>
  </si>
  <si>
    <t>251500640287 - 29/10/2022 14:10:00</t>
  </si>
  <si>
    <t>CAFFINE ANHYDROUS IP</t>
  </si>
  <si>
    <t>201496910848</t>
  </si>
  <si>
    <t>201496910848 - 19/10/2022 14:09:00</t>
  </si>
  <si>
    <t>221498855233</t>
  </si>
  <si>
    <t>221498855233 - 23/10/2022 12:48:00</t>
  </si>
  <si>
    <t>271493847904</t>
  </si>
  <si>
    <t>271493847904 - 11/10/2022 15:43:00</t>
  </si>
  <si>
    <t>351506407599</t>
  </si>
  <si>
    <t>351506407599 - 06/10/2022 22:28:00</t>
  </si>
  <si>
    <t>391516855649</t>
  </si>
  <si>
    <t>391516855649 - 31/10/2022 19:57:00</t>
  </si>
  <si>
    <t>MCCP ACECEL102 IP</t>
  </si>
  <si>
    <t>321515526279</t>
  </si>
  <si>
    <t>321515526279 - 28/10/2022 09:28:00</t>
  </si>
  <si>
    <t>UK06CB1337</t>
  </si>
  <si>
    <t>301514318783</t>
  </si>
  <si>
    <t>301514318783 - 22/10/2022 13:35:00</t>
  </si>
  <si>
    <t>UK04CA6641</t>
  </si>
  <si>
    <t>371513966641</t>
  </si>
  <si>
    <t>371513966641 - 22/10/2022 02:01:00</t>
  </si>
  <si>
    <t>311512636859</t>
  </si>
  <si>
    <t>311512636859 - 20/10/2022 18:12:00</t>
  </si>
  <si>
    <t>361511679397</t>
  </si>
  <si>
    <t>361511679397 - 17/10/2022 23:35:00</t>
  </si>
  <si>
    <t>AMOXYCILLIN TRIHYDRATE COMPACTED IP (DALAS)</t>
  </si>
  <si>
    <t>331507342488</t>
  </si>
  <si>
    <t>331507342488 - 08/10/2022 22:58:00</t>
  </si>
  <si>
    <t>361505708623</t>
  </si>
  <si>
    <t>361505708623 - 08/10/2022 00:59:00</t>
  </si>
  <si>
    <t>HR55AL5571</t>
  </si>
  <si>
    <t>361506423176</t>
  </si>
  <si>
    <t>361506423176 - 06/10/2022 23:47:00</t>
  </si>
  <si>
    <t>361506539853</t>
  </si>
  <si>
    <t>361506539853 - 06/10/2022 19:37:00</t>
  </si>
  <si>
    <t>391505176465</t>
  </si>
  <si>
    <t>391505176465 - 04/10/2022 00:01:00</t>
  </si>
  <si>
    <t>341504692785</t>
  </si>
  <si>
    <t>06AARFV8827D1ZP / VAISHNO PRINT PACKAGING</t>
  </si>
  <si>
    <t>341504692785 - 01/10/2022 21:59:00</t>
  </si>
  <si>
    <t>Printed Aluminium foil</t>
  </si>
  <si>
    <t>311504561303</t>
  </si>
  <si>
    <t>Kashipur / 244715</t>
  </si>
  <si>
    <t>311504561303 - 01/10/2022 16:32:00</t>
  </si>
  <si>
    <t>METTALISED PVC GOLDEN</t>
  </si>
  <si>
    <t>321504360477</t>
  </si>
  <si>
    <t>321504360477 - 01/10/2022 11:16:00</t>
  </si>
  <si>
    <t>381504029927</t>
  </si>
  <si>
    <t>381504029927 - 01/10/2022 00:53:00</t>
  </si>
  <si>
    <t>371506531807</t>
  </si>
  <si>
    <t>371506531807 - 06/10/2022 23:47:00</t>
  </si>
  <si>
    <t>341506254877</t>
  </si>
  <si>
    <t>KASHIPUR / 244714</t>
  </si>
  <si>
    <t>341506254877 - 06/10/2022 23:47:00</t>
  </si>
  <si>
    <t>341506405756</t>
  </si>
  <si>
    <t>341506405756 - 06/10/2022 15:23:00</t>
  </si>
  <si>
    <t>UP27T8797</t>
  </si>
  <si>
    <t>331505687282</t>
  </si>
  <si>
    <t>331505687282 - 04/10/2022 22:52:00</t>
  </si>
  <si>
    <t>321505688196</t>
  </si>
  <si>
    <t>321505688196 - 04/10/2022 22:52:00</t>
  </si>
  <si>
    <t>301504618099</t>
  </si>
  <si>
    <t>301504618099 - 01/10/2022 22:25:00</t>
  </si>
  <si>
    <t>341504453632</t>
  </si>
  <si>
    <t>341504453632 - 01/10/2022 19:45:00</t>
  </si>
  <si>
    <t>321516211949</t>
  </si>
  <si>
    <t>321516211949 - 30/10/2022 00:12:00</t>
  </si>
  <si>
    <t>321515220016</t>
  </si>
  <si>
    <t>321515220016 - 27/10/2022 19:44:00</t>
  </si>
  <si>
    <t>METHYLENE CHLORIDE</t>
  </si>
  <si>
    <t>371514766350</t>
  </si>
  <si>
    <t>05AAIFV2202M1Z8 / Vimal Steel</t>
  </si>
  <si>
    <t>05AAECM6380J1ZA / M.R.Health Care P Ltd</t>
  </si>
  <si>
    <t>371514766350 - 24/10/2022 12:16:00</t>
  </si>
  <si>
    <t>G.C.Sheet</t>
  </si>
  <si>
    <t>UK04CB5290</t>
  </si>
  <si>
    <t>311513197483</t>
  </si>
  <si>
    <t>311513197483 - 20/10/2022 23:07:00</t>
  </si>
  <si>
    <t>301513450651</t>
  </si>
  <si>
    <t>301513450651 - 20/10/2022 23:07:00</t>
  </si>
  <si>
    <t>321513396195</t>
  </si>
  <si>
    <t>321513396195 - 20/10/2022 23:07:00</t>
  </si>
  <si>
    <t>331513458836</t>
  </si>
  <si>
    <t>331513458836 - 20/10/2022 18:37:00</t>
  </si>
  <si>
    <t>381512836434</t>
  </si>
  <si>
    <t>381512836434 - 19/10/2022 23:46:00</t>
  </si>
  <si>
    <t>311512123041</t>
  </si>
  <si>
    <t>311512123041 - 18/10/2022 14:54:00</t>
  </si>
  <si>
    <t>311510813326</t>
  </si>
  <si>
    <t>311510813326 - 17/10/2022 23:17:00</t>
  </si>
  <si>
    <t>PHARMA RAW MATRIAL</t>
  </si>
  <si>
    <t>351511617042</t>
  </si>
  <si>
    <t>351511617042 - 17/10/2022 16:03:00</t>
  </si>
  <si>
    <t>341510955445</t>
  </si>
  <si>
    <t>341510955445 - 16/10/2022 00:04:00</t>
  </si>
  <si>
    <t>VITAMIN D3 500000 IU/G (29362940)(FERMENTA)</t>
  </si>
  <si>
    <t>311510774205</t>
  </si>
  <si>
    <t>311510774205 - 16/10/2022 00:04:00</t>
  </si>
  <si>
    <t>361510303017</t>
  </si>
  <si>
    <t>361510303017 - 15/10/2022 23:39:00</t>
  </si>
  <si>
    <t>ALUMINIUM FOIL</t>
  </si>
  <si>
    <t>391510937831</t>
  </si>
  <si>
    <t>391510937831 - 15/10/2022 19:15:00</t>
  </si>
  <si>
    <t>UK04CB5612</t>
  </si>
  <si>
    <t>311509864012</t>
  </si>
  <si>
    <t>311509864012 - 14/10/2022 23:07:00</t>
  </si>
  <si>
    <t>331510085202</t>
  </si>
  <si>
    <t>331510085202 - 14/10/2022 23:07:00</t>
  </si>
  <si>
    <t>381509357740</t>
  </si>
  <si>
    <t>381509357740 - 12/10/2022 23:51:00</t>
  </si>
  <si>
    <t>391509205132</t>
  </si>
  <si>
    <t>391509205132 - 12/10/2022 23:51:00</t>
  </si>
  <si>
    <t>351508706861</t>
  </si>
  <si>
    <t>351508706861 - 12/10/2022 21:33:00</t>
  </si>
  <si>
    <t>371508304166</t>
  </si>
  <si>
    <t>371508304166 - 12/10/2022 20:58:00</t>
  </si>
  <si>
    <t>UK06CA4820</t>
  </si>
  <si>
    <t>301509432069</t>
  </si>
  <si>
    <t>KAASHIPUR / 244715</t>
  </si>
  <si>
    <t>301509432069 - 12/10/2022 19:05:00</t>
  </si>
  <si>
    <t>311509316373</t>
  </si>
  <si>
    <t>311509316373 - 12/10/2022 16:46:00</t>
  </si>
  <si>
    <t>CEFIXIME (TRIHYDRATE FORM) IP (COMP.)</t>
  </si>
  <si>
    <t>331509116737</t>
  </si>
  <si>
    <t>331509116737 - 12/10/2022 12:00:00</t>
  </si>
  <si>
    <t>331508759629</t>
  </si>
  <si>
    <t>331508759629 - 11/10/2022 22:49:00</t>
  </si>
  <si>
    <t>301508760057</t>
  </si>
  <si>
    <t>301508760057 - 11/10/2022 22:49:00</t>
  </si>
  <si>
    <t>351508268895</t>
  </si>
  <si>
    <t>351508268895 - 11/10/2022 01:35:00</t>
  </si>
  <si>
    <t>371508336114</t>
  </si>
  <si>
    <t>371508336114 - 10/10/2022 19:38:00</t>
  </si>
  <si>
    <t>301508340961</t>
  </si>
  <si>
    <t>05ABEFS5359M1ZP / M/S S.S. Industries</t>
  </si>
  <si>
    <t>RAMNAGAR dist nanital / 244715</t>
  </si>
  <si>
    <t>301508340961 - 10/10/2022 19:38:00</t>
  </si>
  <si>
    <t>331507567247</t>
  </si>
  <si>
    <t>331507567247 - 08/10/2022 22:58:00</t>
  </si>
  <si>
    <t>391506962649</t>
  </si>
  <si>
    <t>391506962649 - 08/10/2022 02:04:00</t>
  </si>
  <si>
    <t>341507065801</t>
  </si>
  <si>
    <t>341507065801 - 08/10/2022 02:04:00</t>
  </si>
  <si>
    <t>381507048833</t>
  </si>
  <si>
    <t>381507048833 - 07/10/2022 17:19:00</t>
  </si>
  <si>
    <t>321515794061</t>
  </si>
  <si>
    <t>321515794061 - 28/10/2022 21:35:00</t>
  </si>
  <si>
    <t>301515006676</t>
  </si>
  <si>
    <t>301515006676 - 26/10/2022 16:12:00</t>
  </si>
  <si>
    <t>Clobetasol Propionate</t>
  </si>
  <si>
    <t>391513957894</t>
  </si>
  <si>
    <t>391513957894 - 21/10/2022 17:32:00</t>
  </si>
  <si>
    <t>471286238355</t>
  </si>
  <si>
    <t>471286238355 - 19/10/2022 17:52:00</t>
  </si>
  <si>
    <t>UK06CB3599</t>
  </si>
  <si>
    <t>481288537448</t>
  </si>
  <si>
    <t>09ABPFA7359E1Z1 / AMBIENCE COOLING CORPORATION LLP</t>
  </si>
  <si>
    <t>Bareilly / 243122</t>
  </si>
  <si>
    <t>481288537448 - 31/10/2022 17:49:00</t>
  </si>
  <si>
    <t>UP25CT0389</t>
  </si>
  <si>
    <t>681481244749</t>
  </si>
  <si>
    <t>681481244749 - 28/10/2022 14:23:00</t>
  </si>
  <si>
    <t>Pharma grade - 01 - Dark Amber Colour - 0.25mm Thick - 208mm Width - Paper Core 9 - BOX - WL</t>
  </si>
  <si>
    <t>UP21CT7843</t>
  </si>
  <si>
    <t>661480051256</t>
  </si>
  <si>
    <t>661480051256 - 21/10/2022 19:12:00</t>
  </si>
  <si>
    <t>651477946186</t>
  </si>
  <si>
    <t>651477946186 - 20/10/2022 01:01:00</t>
  </si>
  <si>
    <t>621477293278</t>
  </si>
  <si>
    <t>24AAECN0459R1Z1 / NPM MACHINERY PVT.LTD.</t>
  </si>
  <si>
    <t>Ahmedabad / 382213</t>
  </si>
  <si>
    <t>621477293278 - 15/10/2022 21:41:00</t>
  </si>
  <si>
    <t>BLACK INK FOR PAD PRINTING DEVICE</t>
  </si>
  <si>
    <t>601472471310</t>
  </si>
  <si>
    <t>24AAECS0804K1ZL / SURMOUNT LABORATORIES PVT LTD</t>
  </si>
  <si>
    <t>DIST NAINITAL UTTARAKHAND / 244715</t>
  </si>
  <si>
    <t>601472471310 - 04/10/2022 21:08:00</t>
  </si>
  <si>
    <t>RANITIDINE HCL IP</t>
  </si>
  <si>
    <t>671470837320</t>
  </si>
  <si>
    <t>671470837320 - 05/10/2022 12:18:00</t>
  </si>
  <si>
    <t>681471559723</t>
  </si>
  <si>
    <t>681471559723 - 01/10/2022 18:08:00</t>
  </si>
  <si>
    <t>DL01LX7534</t>
  </si>
  <si>
    <t>771294380223</t>
  </si>
  <si>
    <t>07BJKPS7609R1Z5 / TANZEN TRADING CO.</t>
  </si>
  <si>
    <t>West Delhi / 110018</t>
  </si>
  <si>
    <t>nanital Uttarakhand / 244715</t>
  </si>
  <si>
    <t>771294380223 - 28/10/2022 13:11:00</t>
  </si>
  <si>
    <t>Packing Material</t>
  </si>
  <si>
    <t>HR69D8385</t>
  </si>
  <si>
    <t>721293908500</t>
  </si>
  <si>
    <t>721293908500 - 22/10/2022 21:52:00</t>
  </si>
  <si>
    <t>751291966947</t>
  </si>
  <si>
    <t>751291966947 - 15/10/2022 23:39:00</t>
  </si>
  <si>
    <t>791291246403</t>
  </si>
  <si>
    <t>791291246403 - 12/10/2022 21:33:00</t>
  </si>
  <si>
    <t>741290697524</t>
  </si>
  <si>
    <t>741290697524 - 10/10/2022 21:47:00</t>
  </si>
  <si>
    <t>761288884204</t>
  </si>
  <si>
    <t>761288884204 - 01/10/2022 21:45:00</t>
  </si>
  <si>
    <t>771294245050</t>
  </si>
  <si>
    <t>771294245050 - 29/10/2022 21:37:00</t>
  </si>
  <si>
    <t>751292952903</t>
  </si>
  <si>
    <t>751292952903 - 20/10/2022 14:05:00</t>
  </si>
  <si>
    <t>761292499643</t>
  </si>
  <si>
    <t>761292499643 - 17/10/2022 17:09:00</t>
  </si>
  <si>
    <t>781289110120</t>
  </si>
  <si>
    <t>781289110120 - 04/10/2022 21:35:00</t>
  </si>
  <si>
    <t>711289332950</t>
  </si>
  <si>
    <t>J-2865, DSIIDC, Industrial Area, Narela, Delhi-110 / 110040</t>
  </si>
  <si>
    <t>711289332950 - 04/10/2022 12:48:00</t>
  </si>
  <si>
    <t>Paracetamol IP</t>
  </si>
  <si>
    <t>791291481174</t>
  </si>
  <si>
    <t>791291481174 - 15/10/2022 23:39:00</t>
  </si>
  <si>
    <t>751289311498</t>
  </si>
  <si>
    <t>751289311498 - 04/10/2022 11:47:00</t>
  </si>
  <si>
    <t>701293524595</t>
  </si>
  <si>
    <t>701293524595 - 22/10/2022 21:24:00</t>
  </si>
  <si>
    <t>701292940820</t>
  </si>
  <si>
    <t>701292940820 - 20/10/2022 14:05:00</t>
  </si>
  <si>
    <t>721292498622</t>
  </si>
  <si>
    <t>721292498622 - 17/10/2022 17:07:00</t>
  </si>
  <si>
    <t>UP22AT5325</t>
  </si>
  <si>
    <t>711291276985</t>
  </si>
  <si>
    <t>711291276985 - 12/10/2022 21:15:00</t>
  </si>
  <si>
    <t>711289170491</t>
  </si>
  <si>
    <t>711289170491 - 04/10/2022 21:35:00</t>
  </si>
  <si>
    <t>771298233192</t>
  </si>
  <si>
    <t>07AAJFG9258K1ZS / GOYAL BROTHERS</t>
  </si>
  <si>
    <t>05AAECM6380J1ZA / MRHEALTHCARE PVTLTD</t>
  </si>
  <si>
    <t>VAPI / 396195</t>
  </si>
  <si>
    <t>771298233192 - 16/11/2022 14:04:00</t>
  </si>
  <si>
    <t>PLASTIC BASKETS</t>
  </si>
  <si>
    <t>UK06CB6893</t>
  </si>
  <si>
    <t>711298227030</t>
  </si>
  <si>
    <t>711298227030 - 16/11/2022 14:04:00</t>
  </si>
  <si>
    <t>751297952333</t>
  </si>
  <si>
    <t>751297952333 - 15/11/2022 01:14:00</t>
  </si>
  <si>
    <t>UP16ET5390</t>
  </si>
  <si>
    <t>771296266509</t>
  </si>
  <si>
    <t>771296266509 - 05/11/2022 22:13:00</t>
  </si>
  <si>
    <t>751300538132</t>
  </si>
  <si>
    <t>751300538132 - 26/11/2022 04:13:00</t>
  </si>
  <si>
    <t>781299498706</t>
  </si>
  <si>
    <t>07AACCM6545P1ZX / MARS HEALTHCARE PVT.LIMITED-DELHI - (2021-2022)</t>
  </si>
  <si>
    <t>05AAECM6380J1ZA / M.R. HEALTHCARE P LTD</t>
  </si>
  <si>
    <t>DELHI / 110015</t>
  </si>
  <si>
    <t>781299498706 - 21/11/2022 22:31:00</t>
  </si>
  <si>
    <t>FENBENDAZOLE IP</t>
  </si>
  <si>
    <t>751299458772</t>
  </si>
  <si>
    <t>751299458772 - 21/11/2022 22:31:00</t>
  </si>
  <si>
    <t>741296504851</t>
  </si>
  <si>
    <t>741296504851 - 07/11/2022 23:45:00</t>
  </si>
  <si>
    <t>DL01MA7169</t>
  </si>
  <si>
    <t>661491347748</t>
  </si>
  <si>
    <t>661491347748 - 24/11/2022 17:53:00</t>
  </si>
  <si>
    <t>Pharma grade - 01 - Dark Amber Colour - 0.25mm Thick - 198mm Width - Paper Core 9 - BOX - WL</t>
  </si>
  <si>
    <t>UK06TA5305</t>
  </si>
  <si>
    <t>641489700113</t>
  </si>
  <si>
    <t>641489700113 - 21/11/2022 11:46:00</t>
  </si>
  <si>
    <t>Pharma grade - 01 - Peach Colour - 0.25mm Thick - 180mm Width - Paper Core 9 - BOX - WL</t>
  </si>
  <si>
    <t>201461045287</t>
  </si>
  <si>
    <t>27AAPFN8428E1ZW / NILRAJ LIFECARE</t>
  </si>
  <si>
    <t>201461045287 - 29/07/2022 23:18:00</t>
  </si>
  <si>
    <t>H.L MEDICINE</t>
  </si>
  <si>
    <t>241459880551</t>
  </si>
  <si>
    <t>27ABOPJ6789J1ZR / SHRIYA PHARMA AND SURGICAL</t>
  </si>
  <si>
    <t>241459880551 - 26/07/2022 22:54:00</t>
  </si>
  <si>
    <t>ETORICOXIB IP</t>
  </si>
  <si>
    <t>221455854848</t>
  </si>
  <si>
    <t>27AAOFJ8484B1ZZ / JUANA PHARMA</t>
  </si>
  <si>
    <t>BHIWANDI THANE / 421302</t>
  </si>
  <si>
    <t>221455854848 - 20/07/2022 18:10:00</t>
  </si>
  <si>
    <t>221453111480</t>
  </si>
  <si>
    <t>221453111480 - 19/07/2022 17:20:00</t>
  </si>
  <si>
    <t>ORNIDAZOLE IP</t>
  </si>
  <si>
    <t>DL01GC6492</t>
  </si>
  <si>
    <t>281455594872</t>
  </si>
  <si>
    <t>281455594872 - 18/07/2022 18:06:00</t>
  </si>
  <si>
    <t>211454312849</t>
  </si>
  <si>
    <t>211454312849 - 14/07/2022 17:57:00</t>
  </si>
  <si>
    <t>IBUPROFEN IP</t>
  </si>
  <si>
    <t>241453964653</t>
  </si>
  <si>
    <t>241453964653 - 13/07/2022 18:13:00</t>
  </si>
  <si>
    <t>291452445422</t>
  </si>
  <si>
    <t>291452445422 - 10/07/2022 14:56:00</t>
  </si>
  <si>
    <t>HR38V7740</t>
  </si>
  <si>
    <t>261460657263</t>
  </si>
  <si>
    <t>261460657263 - 31/07/2022 13:43:00</t>
  </si>
  <si>
    <t>FEBANTEL</t>
  </si>
  <si>
    <t>201458675547</t>
  </si>
  <si>
    <t>nainital / 244715</t>
  </si>
  <si>
    <t>201458675547 - 23/07/2022 17:44:00</t>
  </si>
  <si>
    <t>221456850209</t>
  </si>
  <si>
    <t>27AENPD6078C1ZH / VISION PHARMA</t>
  </si>
  <si>
    <t>LAXMI NAGAR GHATKOPAR MUMBAI / 400077</t>
  </si>
  <si>
    <t>221456850209 - 20/07/2022 02:22:00</t>
  </si>
  <si>
    <t>UK18J9020</t>
  </si>
  <si>
    <t>251455775788</t>
  </si>
  <si>
    <t>27AFGPS1041E1ZQ / LUCONIC CHEMICALS</t>
  </si>
  <si>
    <t>Mumbai Suburban / 400066</t>
  </si>
  <si>
    <t>251455775788 - 19/07/2022 18:51:00</t>
  </si>
  <si>
    <t>261455851292</t>
  </si>
  <si>
    <t>27ABSFA6620P1ZR / ARIHEET PHARMACHEM LLP</t>
  </si>
  <si>
    <t>261455851292 - 18/07/2022 21:00:00</t>
  </si>
  <si>
    <t>ASCORBIC ACID</t>
  </si>
  <si>
    <t>271455729749</t>
  </si>
  <si>
    <t>271455729749 - 18/07/2022 18:06:00</t>
  </si>
  <si>
    <t>201453071117</t>
  </si>
  <si>
    <t>201453071117 - 14/07/2022 17:57:00</t>
  </si>
  <si>
    <t>KETOCONAZOLE IP</t>
  </si>
  <si>
    <t>251452544206</t>
  </si>
  <si>
    <t>251452544206 - 11/07/2022 20:20:00</t>
  </si>
  <si>
    <t>211452213052</t>
  </si>
  <si>
    <t>211452213052 - 10/07/2022 14:56:00</t>
  </si>
  <si>
    <t>201452177205</t>
  </si>
  <si>
    <t>27ACPPT4033P1ZT / HINDUSTAN CHEMICALS AND PHARMA CEUTICALS</t>
  </si>
  <si>
    <t>Mumbai Suburban / 400078</t>
  </si>
  <si>
    <t>201452177205 - 09/07/2022 17:45:00</t>
  </si>
  <si>
    <t>261450914417</t>
  </si>
  <si>
    <t>261450914417 - 06/07/2022 17:14:00</t>
  </si>
  <si>
    <t>DL01GE1300</t>
  </si>
  <si>
    <t>221460218183</t>
  </si>
  <si>
    <t>221460218183 - 28/07/2022 18:27:00</t>
  </si>
  <si>
    <t>ATENOLOL IP</t>
  </si>
  <si>
    <t>DL01GC5750</t>
  </si>
  <si>
    <t>291473593081</t>
  </si>
  <si>
    <t>291473593081 - 28/08/2022 16:29:00</t>
  </si>
  <si>
    <t>281473421354</t>
  </si>
  <si>
    <t>281473421354 - 27/08/2022 10:17:00</t>
  </si>
  <si>
    <t>CEFIXIME TRIHYDRATE COMPACTED</t>
  </si>
  <si>
    <t>241464948576</t>
  </si>
  <si>
    <t>241464948576 - 10/08/2022 09:55:00</t>
  </si>
  <si>
    <t>METFORMIN HCL I.P.</t>
  </si>
  <si>
    <t>HR38AC4595</t>
  </si>
  <si>
    <t>211464863832</t>
  </si>
  <si>
    <t>211464863832 - 10/08/2022 09:55:00</t>
  </si>
  <si>
    <t>241462488454</t>
  </si>
  <si>
    <t>241462488454 - 02/08/2022 15:26:00</t>
  </si>
  <si>
    <t>261472192075</t>
  </si>
  <si>
    <t>27AAAFM4121E1ZU / MEDI PHARMA DRUG HOUSE</t>
  </si>
  <si>
    <t>UTTARANCHAL / 244715</t>
  </si>
  <si>
    <t>261472192075 - 26/08/2022 17:47:00</t>
  </si>
  <si>
    <t>AZITHROMYCIN IP/EP/USP</t>
  </si>
  <si>
    <t>251472123209</t>
  </si>
  <si>
    <t>251472123209 - 25/08/2022 19:07:00</t>
  </si>
  <si>
    <t>281467732556</t>
  </si>
  <si>
    <t>05AAECM6380J1ZA / M R HEALTH CARE PVT LTD</t>
  </si>
  <si>
    <t>281467732556 - 16/08/2022 16:10:00</t>
  </si>
  <si>
    <t>231467826359</t>
  </si>
  <si>
    <t>231467826359 - 16/08/2022 16:07:00</t>
  </si>
  <si>
    <t>251466542791</t>
  </si>
  <si>
    <t>251466542791 - 14/08/2022 14:16:00</t>
  </si>
  <si>
    <t>271465955079</t>
  </si>
  <si>
    <t>271465955079 - 11/08/2022 14:11:00</t>
  </si>
  <si>
    <t>GUAIFENESIN IP</t>
  </si>
  <si>
    <t>201466039579</t>
  </si>
  <si>
    <t>201466039579 - 11/08/2022 00:40:00</t>
  </si>
  <si>
    <t>METHYL PREDNISOLONE IP</t>
  </si>
  <si>
    <t>271466275301</t>
  </si>
  <si>
    <t>271466275301 - 10/08/2022 11:50:00</t>
  </si>
  <si>
    <t>291463851296</t>
  </si>
  <si>
    <t>291463851296 - 06/08/2022 17:00:00</t>
  </si>
  <si>
    <t>PHENYLEPHRINE HCL IP</t>
  </si>
  <si>
    <t>UP22AT9040</t>
  </si>
  <si>
    <t>291463491711</t>
  </si>
  <si>
    <t>291463491711 - 03/08/2022 20:43:00</t>
  </si>
  <si>
    <t>351489828383</t>
  </si>
  <si>
    <t>351489828383 - 30/08/2022 21:58:00</t>
  </si>
  <si>
    <t>351489083601</t>
  </si>
  <si>
    <t>351489083601 - 30/08/2022 21:03:00</t>
  </si>
  <si>
    <t>OFLOXACIN IP ( MAKE AARTI DRUG )</t>
  </si>
  <si>
    <t>301489465268</t>
  </si>
  <si>
    <t>Baddi / 173205</t>
  </si>
  <si>
    <t>301489465268 - 30/08/2022 18:34:00</t>
  </si>
  <si>
    <t>Cloxacillin Sodium BP COMP</t>
  </si>
  <si>
    <t>HP12H9108</t>
  </si>
  <si>
    <t>301489660889</t>
  </si>
  <si>
    <t>301489660889 - 30/08/2022 17:02:00</t>
  </si>
  <si>
    <t>361488073606</t>
  </si>
  <si>
    <t>Haridwar / 249410</t>
  </si>
  <si>
    <t>361488073606 - 26/08/2022 20:55:00</t>
  </si>
  <si>
    <t>321487529070</t>
  </si>
  <si>
    <t>321487529070 - 25/08/2022 23:44:00</t>
  </si>
  <si>
    <t>361487490611</t>
  </si>
  <si>
    <t>361487490611 - 25/08/2022 16:31:00</t>
  </si>
  <si>
    <t>351486038873</t>
  </si>
  <si>
    <t>351486038873 - 22/08/2022 23:18:00</t>
  </si>
  <si>
    <t>361484848446</t>
  </si>
  <si>
    <t>361484848446 - 19/08/2022 20:03:00</t>
  </si>
  <si>
    <t>361484037734</t>
  </si>
  <si>
    <t>361484037734 - 17/08/2022 23:07:00</t>
  </si>
  <si>
    <t>321481929362</t>
  </si>
  <si>
    <t>321481929362 - 10/08/2022 17:01:00</t>
  </si>
  <si>
    <t>311478064149</t>
  </si>
  <si>
    <t>311478064149 - 01/08/2022 20:28:00</t>
  </si>
  <si>
    <t>381490344541</t>
  </si>
  <si>
    <t>381490344541 - 31/08/2022 20:17:00</t>
  </si>
  <si>
    <t>Photo Polymer Printing Plate</t>
  </si>
  <si>
    <t>UK18ER1233</t>
  </si>
  <si>
    <t>301489702925</t>
  </si>
  <si>
    <t>301489702925 - 31/08/2022 00:16:00</t>
  </si>
  <si>
    <t>packaging material</t>
  </si>
  <si>
    <t>351489688310</t>
  </si>
  <si>
    <t>351489688310 - 31/08/2022 00:16:00</t>
  </si>
  <si>
    <t>371489011132</t>
  </si>
  <si>
    <t>371489011132 - 29/08/2022 23:20:00</t>
  </si>
  <si>
    <t>351489089063</t>
  </si>
  <si>
    <t>351489089063 - 29/08/2022 20:55:00</t>
  </si>
  <si>
    <t>PRINTED FOIL</t>
  </si>
  <si>
    <t>321488751870</t>
  </si>
  <si>
    <t>05ABNFA2675D1ZK / Aura packaging</t>
  </si>
  <si>
    <t>321488751870 - 28/08/2022 13:37:00</t>
  </si>
  <si>
    <t>corrugated boxx</t>
  </si>
  <si>
    <t>UK06GA8352</t>
  </si>
  <si>
    <t>321487967069</t>
  </si>
  <si>
    <t>321487967069 - 26/08/2022 23:33:00</t>
  </si>
  <si>
    <t>311488084041</t>
  </si>
  <si>
    <t>311488084041 - 26/08/2022 20:55:00</t>
  </si>
  <si>
    <t>331487486033</t>
  </si>
  <si>
    <t>331487486033 - 26/08/2022 15:04:00</t>
  </si>
  <si>
    <t>UK04CB5242</t>
  </si>
  <si>
    <t>391487134622</t>
  </si>
  <si>
    <t>391487134622 - 25/08/2022 20:44:00</t>
  </si>
  <si>
    <t>UK04CA6808</t>
  </si>
  <si>
    <t>301487493133</t>
  </si>
  <si>
    <t>301487493133 - 25/08/2022 16:34:00</t>
  </si>
  <si>
    <t>371485653040</t>
  </si>
  <si>
    <t>371485653040 - 21/08/2022 16:31:00</t>
  </si>
  <si>
    <t>465X415X320 (5 PLY C BOX)</t>
  </si>
  <si>
    <t>321485361643</t>
  </si>
  <si>
    <t>321485361643 - 20/08/2022 23:23:00</t>
  </si>
  <si>
    <t>361485454044</t>
  </si>
  <si>
    <t>361485454044 - 20/08/2022 19:14:00</t>
  </si>
  <si>
    <t>Xanthan Gum Transparent</t>
  </si>
  <si>
    <t>311484986530</t>
  </si>
  <si>
    <t>311484986530 - 19/08/2022 23:12:00</t>
  </si>
  <si>
    <t>381484585044</t>
  </si>
  <si>
    <t>381484585044 - 19/08/2022 01:45:00</t>
  </si>
  <si>
    <t>301484638159</t>
  </si>
  <si>
    <t>301484638159 - 18/08/2022 19:20:00</t>
  </si>
  <si>
    <t>UK06CB1631</t>
  </si>
  <si>
    <t>321483833300</t>
  </si>
  <si>
    <t>321483833300 - 17/08/2022 23:07:00</t>
  </si>
  <si>
    <t>391483975968</t>
  </si>
  <si>
    <t>391483975968 - 17/08/2022 20:35:00</t>
  </si>
  <si>
    <t>381483401668</t>
  </si>
  <si>
    <t>381483401668 - 16/08/2022 20:13:00</t>
  </si>
  <si>
    <t>TALCUM IP</t>
  </si>
  <si>
    <t>311483397960</t>
  </si>
  <si>
    <t>311483397960 - 16/08/2022 20:13:00</t>
  </si>
  <si>
    <t>301483580749</t>
  </si>
  <si>
    <t>301483580749 - 16/08/2022 17:05:00</t>
  </si>
  <si>
    <t>351482464340</t>
  </si>
  <si>
    <t>351482464340 - 12/08/2022 23:18:00</t>
  </si>
  <si>
    <t>321482196671</t>
  </si>
  <si>
    <t>321482196671 - 12/08/2022 15:31:00</t>
  </si>
  <si>
    <t>321481717936</t>
  </si>
  <si>
    <t>321481717936 - 10/08/2022 11:05:00</t>
  </si>
  <si>
    <t>UP13T9977</t>
  </si>
  <si>
    <t>331481431550</t>
  </si>
  <si>
    <t>331481431550 - 09/08/2022 23:28:00</t>
  </si>
  <si>
    <t>371481255808</t>
  </si>
  <si>
    <t>371481255808 - 09/08/2022 23:28:00</t>
  </si>
  <si>
    <t>301479888293</t>
  </si>
  <si>
    <t>301479888293 - 09/08/2022 22:58:00</t>
  </si>
  <si>
    <t>UK06CA5513</t>
  </si>
  <si>
    <t>321481220319</t>
  </si>
  <si>
    <t>321481220319 - 09/08/2022 09:52:00</t>
  </si>
  <si>
    <t>UK06CB3424</t>
  </si>
  <si>
    <t>391481021007</t>
  </si>
  <si>
    <t>391481021007 - 08/08/2022 23:24:00</t>
  </si>
  <si>
    <t>371480265952</t>
  </si>
  <si>
    <t>371480265952 - 06/08/2022 23:12:00</t>
  </si>
  <si>
    <t>361480471329</t>
  </si>
  <si>
    <t>361480471329 - 06/08/2022 18:47:00</t>
  </si>
  <si>
    <t>301480453556</t>
  </si>
  <si>
    <t>301480453556 - 06/08/2022 18:17:00</t>
  </si>
  <si>
    <t>391480450637</t>
  </si>
  <si>
    <t>391480450637 - 06/08/2022 18:13:00</t>
  </si>
  <si>
    <t>371480392292</t>
  </si>
  <si>
    <t>371480392292 - 06/08/2022 16:52:00</t>
  </si>
  <si>
    <t>UK06CB5953</t>
  </si>
  <si>
    <t>321480256191</t>
  </si>
  <si>
    <t>321480256191 - 06/08/2022 12:59:00</t>
  </si>
  <si>
    <t>371479896664</t>
  </si>
  <si>
    <t>371479896664 - 05/08/2022 21:51:00</t>
  </si>
  <si>
    <t>PHARMA PELLETS</t>
  </si>
  <si>
    <t>391478963981</t>
  </si>
  <si>
    <t>391478963981 - 05/08/2022 20:06:00</t>
  </si>
  <si>
    <t>PROPYLENE GLYCOL IP</t>
  </si>
  <si>
    <t>351479281369</t>
  </si>
  <si>
    <t>351479281369 - 04/08/2022 10:59:00</t>
  </si>
  <si>
    <t>381478654970</t>
  </si>
  <si>
    <t>381478654970 - 03/08/2022 18:36:00</t>
  </si>
  <si>
    <t>ENROFLOXACIN BASE IP</t>
  </si>
  <si>
    <t>UK06CA9936</t>
  </si>
  <si>
    <t>341478551736</t>
  </si>
  <si>
    <t>05AAJFG0319D1ZZ / M/S GANESH METAL INDUSTRIES</t>
  </si>
  <si>
    <t>341478551736 - 03/08/2022 00:31:00</t>
  </si>
  <si>
    <t>PLAIN SILVER 25MM</t>
  </si>
  <si>
    <t>381478622159</t>
  </si>
  <si>
    <t>381478622159 - 03/08/2022 00:31:00</t>
  </si>
  <si>
    <t>361478021222</t>
  </si>
  <si>
    <t>361478021222 - 01/08/2022 20:28:00</t>
  </si>
  <si>
    <t>CROSS POVIDONE XL10</t>
  </si>
  <si>
    <t>481269880374</t>
  </si>
  <si>
    <t>/ 263153</t>
  </si>
  <si>
    <t>481269880374 - 09/08/2022 13:11:00</t>
  </si>
  <si>
    <t>471270270347</t>
  </si>
  <si>
    <t>09AAECK5104G1ZR / M/S KUNJILAL FOODS PRIVATE LIMITED</t>
  </si>
  <si>
    <t>Aligarh / 202001</t>
  </si>
  <si>
    <t>471270270347 - 10/08/2022 21:56:00</t>
  </si>
  <si>
    <t>sweets namkeen other Perparation</t>
  </si>
  <si>
    <t>UP81CT1282</t>
  </si>
  <si>
    <t>411270715668</t>
  </si>
  <si>
    <t>09AHJPG5662N1ZR / M/S NAMAN ENTERPRISES</t>
  </si>
  <si>
    <t>Bareilly / 243006</t>
  </si>
  <si>
    <t>411270715668 - 13/08/2022 18:10:00</t>
  </si>
  <si>
    <t>WIRE</t>
  </si>
  <si>
    <t>UP25AT7673</t>
  </si>
  <si>
    <t>461270995702</t>
  </si>
  <si>
    <t>461270995702 - 16/08/2022 23:30:00</t>
  </si>
  <si>
    <t>471273404055</t>
  </si>
  <si>
    <t>471273404055 - 26/08/2022 23:33:00</t>
  </si>
  <si>
    <t>601454994822</t>
  </si>
  <si>
    <t>601454994822 - 23/08/2022 14:30:00</t>
  </si>
  <si>
    <t>Pharma grade - 01 - Blue colour - 0.25mm Thick - 208mm Width - Paper Core 9 - BOX - WL</t>
  </si>
  <si>
    <t>UP21CT2509</t>
  </si>
  <si>
    <t>631450999747</t>
  </si>
  <si>
    <t>24AAACU6175D1ZI / UNNATI PHARMACEUTICALS PVT LTD</t>
  </si>
  <si>
    <t>VADODARA / 391740</t>
  </si>
  <si>
    <t>631450999747 - 13/08/2022 12:54:00</t>
  </si>
  <si>
    <t>CROSS CARMELLOSE SODIUM USP</t>
  </si>
  <si>
    <t>651447539268</t>
  </si>
  <si>
    <t>651447539268 - 01/08/2022 21:48:00</t>
  </si>
  <si>
    <t>Colorcoat EC4S-C (White) (5 Kg)</t>
  </si>
  <si>
    <t>671453599872</t>
  </si>
  <si>
    <t>671453599872 - 18/08/2022 17:27:00</t>
  </si>
  <si>
    <t>Pharma grade - 01 - Blue Tone - 0.25mm Thick - 158mm Width - Paper Core 9 - BOX - WL</t>
  </si>
  <si>
    <t>UP21CT5765</t>
  </si>
  <si>
    <t>681447537795</t>
  </si>
  <si>
    <t>681447537795 - 01/08/2022 21:48:00</t>
  </si>
  <si>
    <t>Colorcoat Pearl (Gold) (5 Kg)</t>
  </si>
  <si>
    <t>631452011531</t>
  </si>
  <si>
    <t>24AEGPS6371A1ZN / PARAM PHARMA CHEM</t>
  </si>
  <si>
    <t>Satellite / 380015</t>
  </si>
  <si>
    <t>Nanital / 244715</t>
  </si>
  <si>
    <t>631452011531 - 13/08/2022 15:44:00</t>
  </si>
  <si>
    <t>Furazolidone IP</t>
  </si>
  <si>
    <t>781275759812</t>
  </si>
  <si>
    <t>781275759812 - 08/08/2022 21:39:00</t>
  </si>
  <si>
    <t>761275396163</t>
  </si>
  <si>
    <t>761275396163 - 03/08/2022 20:19:00</t>
  </si>
  <si>
    <t>791275982284</t>
  </si>
  <si>
    <t>791275982284 - 06/08/2022 20:27:00</t>
  </si>
  <si>
    <t>761280011321</t>
  </si>
  <si>
    <t>761280011321 - 27/08/2022 21:41:00</t>
  </si>
  <si>
    <t>721278197066</t>
  </si>
  <si>
    <t>721278197066 - 18/08/2022 13:05:00</t>
  </si>
  <si>
    <t>761277259554</t>
  </si>
  <si>
    <t>761277259554 - 12/08/2022 22:04:00</t>
  </si>
  <si>
    <t>721276952722</t>
  </si>
  <si>
    <t>721276952722 - 11/08/2022 21:51:00</t>
  </si>
  <si>
    <t>741275159528</t>
  </si>
  <si>
    <t>741275159528 - 02/08/2022 20:55:00</t>
  </si>
  <si>
    <t>771281120070</t>
  </si>
  <si>
    <t>771281120070 - 31/08/2022 22:19:00</t>
  </si>
  <si>
    <t>701279633518</t>
  </si>
  <si>
    <t>07AZSPK2293G1ZZ / ROHIT ELECTRICALS</t>
  </si>
  <si>
    <t>BHAGIRATH PALACE , CHANDNI CHOWK / 110006</t>
  </si>
  <si>
    <t>701279633518 - 25/08/2022 03:05:00</t>
  </si>
  <si>
    <t>HR55W9244</t>
  </si>
  <si>
    <t>741278294165</t>
  </si>
  <si>
    <t>741278294165 - 20/08/2022 22:02:00</t>
  </si>
  <si>
    <t>701278323748</t>
  </si>
  <si>
    <t>07AARFV8827D1ZN / VAISHNO PRINT PACKAGING</t>
  </si>
  <si>
    <t>New Delhi / 110005</t>
  </si>
  <si>
    <t>701278323748 - 18/08/2022 22:42:00</t>
  </si>
  <si>
    <t>741277797876</t>
  </si>
  <si>
    <t>741277797876 - 16/08/2022 17:08:00</t>
  </si>
  <si>
    <t>771277211391</t>
  </si>
  <si>
    <t>771277211391 - 14/08/2022 01:03:00</t>
  </si>
  <si>
    <t>701288479594</t>
  </si>
  <si>
    <t>701288479594 - 30/09/2022 15:29:00</t>
  </si>
  <si>
    <t>731287317674</t>
  </si>
  <si>
    <t>731287317674 - 29/09/2022 22:30:00</t>
  </si>
  <si>
    <t>781288206785</t>
  </si>
  <si>
    <t>781288206785 - 29/09/2022 21:24:00</t>
  </si>
  <si>
    <t>AZITHROMYCIN IP/USP 42 -WEIQIDA</t>
  </si>
  <si>
    <t>771286846650</t>
  </si>
  <si>
    <t>771286846650 - 26/09/2022 22:00:00</t>
  </si>
  <si>
    <t>751283917375</t>
  </si>
  <si>
    <t>751283917375 - 14/09/2022 21:38:00</t>
  </si>
  <si>
    <t>701283073263</t>
  </si>
  <si>
    <t>07AAACA6462D1Z0 / Alben Chemicals Pvt. Ltd.</t>
  </si>
  <si>
    <t>Delhi / 110008</t>
  </si>
  <si>
    <t>701283073263 - 09/09/2022 21:07:00</t>
  </si>
  <si>
    <t>ACECLOFENAC IP (25KG)</t>
  </si>
  <si>
    <t>721282741284</t>
  </si>
  <si>
    <t>721282741284 - 08/09/2022 22:17:00</t>
  </si>
  <si>
    <t>701282425340</t>
  </si>
  <si>
    <t>701282425340 - 06/09/2022 21:57:00</t>
  </si>
  <si>
    <t>Rotary Punch and Die Capsule</t>
  </si>
  <si>
    <t>771288276941</t>
  </si>
  <si>
    <t>771288276941 - 29/09/2022 19:23:00</t>
  </si>
  <si>
    <t>771287861412</t>
  </si>
  <si>
    <t>771287861412 - 28/09/2022 15:44:00</t>
  </si>
  <si>
    <t>731287227021</t>
  </si>
  <si>
    <t>731287227021 - 26/09/2022 22:00:00</t>
  </si>
  <si>
    <t>711287254870</t>
  </si>
  <si>
    <t>711287254870 - 26/09/2022 22:00:00</t>
  </si>
  <si>
    <t>751287263571</t>
  </si>
  <si>
    <t>751287263571 - 26/09/2022 15:13:00</t>
  </si>
  <si>
    <t>DL01LP2324</t>
  </si>
  <si>
    <t>721286835608</t>
  </si>
  <si>
    <t>721286835608 - 24/09/2022 22:21:00</t>
  </si>
  <si>
    <t>CEFIXIME TRIHYDRATE IP (COMPACTED) (25 KGS)</t>
  </si>
  <si>
    <t>721286073253</t>
  </si>
  <si>
    <t>721286073253 - 22/09/2022 22:03:00</t>
  </si>
  <si>
    <t>701285526963</t>
  </si>
  <si>
    <t>701285526963 - 21/09/2022 04:10:00</t>
  </si>
  <si>
    <t>761285199453</t>
  </si>
  <si>
    <t>761285199453 - 19/09/2022 23:12:00</t>
  </si>
  <si>
    <t>791284695373</t>
  </si>
  <si>
    <t>791284695373 - 17/09/2022 21:43:00</t>
  </si>
  <si>
    <t>771283917355</t>
  </si>
  <si>
    <t>771283917355 - 14/09/2022 21:38:00</t>
  </si>
  <si>
    <t>711283648358</t>
  </si>
  <si>
    <t>711283648358 - 12/09/2022 23:33:00</t>
  </si>
  <si>
    <t>711283656546</t>
  </si>
  <si>
    <t>711283656546 - 12/09/2022 19:43:00</t>
  </si>
  <si>
    <t>Glimepiride IP (Micronised) (29420090)</t>
  </si>
  <si>
    <t>741283665439</t>
  </si>
  <si>
    <t>741283665439 - 12/09/2022 14:44:00</t>
  </si>
  <si>
    <t>771283303314</t>
  </si>
  <si>
    <t>07AABCS2515A1Z1 / SAJBEN PLASTFILMS PVT.LTD</t>
  </si>
  <si>
    <t>771283303314 - 10/09/2022 23:19:00</t>
  </si>
  <si>
    <t>METTALISED</t>
  </si>
  <si>
    <t>721283053034</t>
  </si>
  <si>
    <t>721283053034 - 09/09/2022 21:07:00</t>
  </si>
  <si>
    <t>791281845476</t>
  </si>
  <si>
    <t>791281845476 - 07/09/2022 19:30:00</t>
  </si>
  <si>
    <t>UP14KT5802</t>
  </si>
  <si>
    <t>781281631575</t>
  </si>
  <si>
    <t>781281631575 - 03/09/2022 23:23:00</t>
  </si>
  <si>
    <t>781281456725</t>
  </si>
  <si>
    <t>781281456725 - 01/09/2022 21:16:00</t>
  </si>
  <si>
    <t>721281421457</t>
  </si>
  <si>
    <t>721281421457 - 01/09/2022 21:16:00</t>
  </si>
  <si>
    <t>661466275685</t>
  </si>
  <si>
    <t>661466275685 - 20/09/2022 16:57:00</t>
  </si>
  <si>
    <t>Pharma grade - 01 - Blue Tone - 0.25mm Thick - 181mm Width - Paper Core 9 - BOX - WL</t>
  </si>
  <si>
    <t>681462743731</t>
  </si>
  <si>
    <t>681462743731 - 12/09/2022 15:05:00</t>
  </si>
  <si>
    <t>DRCOAT ECS</t>
  </si>
  <si>
    <t>681459155077</t>
  </si>
  <si>
    <t>681459155077 - 07/09/2022 18:58:00</t>
  </si>
  <si>
    <t>661460253926</t>
  </si>
  <si>
    <t>24AADFU5760A1ZI / UNIWORTH ENTERPRISES LLP</t>
  </si>
  <si>
    <t>AHMEDABAD / 382170</t>
  </si>
  <si>
    <t>661460253926 - 05/09/2022 17:54:00</t>
  </si>
  <si>
    <t>PK PH PVC 0.250MM CLEAR 0147MM</t>
  </si>
  <si>
    <t>UK06CB2672</t>
  </si>
  <si>
    <t>681459474873</t>
  </si>
  <si>
    <t>23AABFJ3781E1ZO / JYOTI ASSOCIATES</t>
  </si>
  <si>
    <t>05AAECM6380J1ZA / M.R Healthcare Pvt Ltd</t>
  </si>
  <si>
    <t>681459474873 - 03/09/2022 20:20:00</t>
  </si>
  <si>
    <t>AMOXYCILLIN TRI.C-BP/IP/USP</t>
  </si>
  <si>
    <t>UK18CA3643</t>
  </si>
  <si>
    <t>601464103335</t>
  </si>
  <si>
    <t>601464103335 - 15/09/2022 14:28:00</t>
  </si>
  <si>
    <t>641459057669</t>
  </si>
  <si>
    <t>641459057669 - 02/09/2022 20:09:00</t>
  </si>
  <si>
    <t>641460253780</t>
  </si>
  <si>
    <t>641460253780 - 05/09/2022 17:54:00</t>
  </si>
  <si>
    <t>PK PH PVC 0.250MM DK AMBER 0174MM</t>
  </si>
  <si>
    <t>441275091702</t>
  </si>
  <si>
    <t>Rudrapur / 263153</t>
  </si>
  <si>
    <t>441275091702 - 02/09/2022 13:32:00</t>
  </si>
  <si>
    <t>451275163864</t>
  </si>
  <si>
    <t>451275163864 - 02/09/2022 17:09:00</t>
  </si>
  <si>
    <t>UP22T8414</t>
  </si>
  <si>
    <t>421275168518</t>
  </si>
  <si>
    <t>421275168518 - 02/09/2022 17:19:00</t>
  </si>
  <si>
    <t>411276515046</t>
  </si>
  <si>
    <t>411276515046 - 08/09/2022 23:37:00</t>
  </si>
  <si>
    <t>471276513882</t>
  </si>
  <si>
    <t>471276513882 - 08/09/2022 23:37:00</t>
  </si>
  <si>
    <t>401277012080</t>
  </si>
  <si>
    <t>401277012080 - 10/09/2022 19:36:00</t>
  </si>
  <si>
    <t>UP25DT9243</t>
  </si>
  <si>
    <t>461277012905</t>
  </si>
  <si>
    <t>461277012905 - 10/09/2022 19:39:00</t>
  </si>
  <si>
    <t>441280389267</t>
  </si>
  <si>
    <t>Ghaziabad / 263153</t>
  </si>
  <si>
    <t>441280389267 - 26/09/2022 08:20:00</t>
  </si>
  <si>
    <t>441281030249</t>
  </si>
  <si>
    <t>441281030249 - 28/09/2022 13:28:00</t>
  </si>
  <si>
    <t>UP25BT5586</t>
  </si>
  <si>
    <t>421281255239</t>
  </si>
  <si>
    <t>421281255239 - 29/09/2022 23:06:00</t>
  </si>
  <si>
    <t>251436288304</t>
  </si>
  <si>
    <t>251436288304 - 01/06/2022 18:54:00</t>
  </si>
  <si>
    <t>201448310872</t>
  </si>
  <si>
    <t>201448310872 - 30/06/2022 14:45:00</t>
  </si>
  <si>
    <t>271447847187</t>
  </si>
  <si>
    <t>271447847187 - 28/06/2022 17:39:00</t>
  </si>
  <si>
    <t>DICLOFENAC POTASSIUM BP...</t>
  </si>
  <si>
    <t>231444774208</t>
  </si>
  <si>
    <t>27AAECA1503D1ZE / ABIL CHEMPHARMA PRIVATE LIMITED, BHIWANDI</t>
  </si>
  <si>
    <t>RAMNAGAR, NAINITAL / 244715</t>
  </si>
  <si>
    <t>231444774208 - 22/06/2022 18:14:00</t>
  </si>
  <si>
    <t>Active Pharmaceutical Ingredient</t>
  </si>
  <si>
    <t>201443682664</t>
  </si>
  <si>
    <t>201443682664 - 18/06/2022 16:16:00</t>
  </si>
  <si>
    <t>231441114803</t>
  </si>
  <si>
    <t>231441114803 - 14/06/2022 18:00:00</t>
  </si>
  <si>
    <t>DROTAVERINE HCL IP</t>
  </si>
  <si>
    <t>221441362230</t>
  </si>
  <si>
    <t>221441362230 - 13/06/2022 20:17:00</t>
  </si>
  <si>
    <t>METOPROLOL SUCCINATE IP</t>
  </si>
  <si>
    <t>291440622136</t>
  </si>
  <si>
    <t>291440622136 - 11/06/2022 10:14:00</t>
  </si>
  <si>
    <t>291438121971</t>
  </si>
  <si>
    <t>291438121971 - 07/06/2022 20:40:00</t>
  </si>
  <si>
    <t>TINIDAZOLE IP.</t>
  </si>
  <si>
    <t>DL01LW7894</t>
  </si>
  <si>
    <t>201437626735</t>
  </si>
  <si>
    <t>MUNISUVRAT COMPLEX ANJUR PHATA / 421302</t>
  </si>
  <si>
    <t>201437626735 - 03/06/2022 18:22:00</t>
  </si>
  <si>
    <t>241437468209</t>
  </si>
  <si>
    <t>27AAKFS5796B1ZT / SHREE RAJ CHEM</t>
  </si>
  <si>
    <t>241437468209 - 02/06/2022 16:08:00</t>
  </si>
  <si>
    <t>241436971810</t>
  </si>
  <si>
    <t>MAHARASHTRA / 421302</t>
  </si>
  <si>
    <t>241436971810 - 02/06/2022 16:08:00</t>
  </si>
  <si>
    <t>CHLORZOXAZONE USP</t>
  </si>
  <si>
    <t>291437291303</t>
  </si>
  <si>
    <t>291437291303 - 01/06/2022 20:39:00</t>
  </si>
  <si>
    <t>351457266656</t>
  </si>
  <si>
    <t>351457266656 - 09/06/2022 23:47:00</t>
  </si>
  <si>
    <t>321454881383</t>
  </si>
  <si>
    <t>321454881383 - 03/06/2022 15:41:00</t>
  </si>
  <si>
    <t>DICYCLOMINE HCL IP (MAKE-PALAM)</t>
  </si>
  <si>
    <t>311454677932</t>
  </si>
  <si>
    <t>311454677932 - 02/06/2022 19:29:00</t>
  </si>
  <si>
    <t>PET BOTTLES 120ML 12.5 GM RD AMB 528</t>
  </si>
  <si>
    <t>371456714206</t>
  </si>
  <si>
    <t>371456714206 - 08/06/2022 13:16:00</t>
  </si>
  <si>
    <t>UA04E4990</t>
  </si>
  <si>
    <t>381464998233</t>
  </si>
  <si>
    <t>381464998233 - 30/06/2022 01:55:00</t>
  </si>
  <si>
    <t>351464992984</t>
  </si>
  <si>
    <t>351464992984 - 30/06/2022 01:55:00</t>
  </si>
  <si>
    <t>361464602453</t>
  </si>
  <si>
    <t>361464602453 - 28/06/2022 23:32:00</t>
  </si>
  <si>
    <t>301464149387</t>
  </si>
  <si>
    <t>301464149387 - 28/06/2022 00:40:00</t>
  </si>
  <si>
    <t>381460744403</t>
  </si>
  <si>
    <t>381460744403 - 18/06/2022 17:20:00</t>
  </si>
  <si>
    <t>341460345808</t>
  </si>
  <si>
    <t>341460345808 - 18/06/2022 10:19:00</t>
  </si>
  <si>
    <t>381459764892</t>
  </si>
  <si>
    <t>05AAOFH2499A1ZE / HR PRINT PACK</t>
  </si>
  <si>
    <t>381459764892 - 16/06/2022 23:52:00</t>
  </si>
  <si>
    <t>UK18CA6669</t>
  </si>
  <si>
    <t>351459912827</t>
  </si>
  <si>
    <t>351459912827 - 16/06/2022 23:52:00</t>
  </si>
  <si>
    <t>361459563909</t>
  </si>
  <si>
    <t>361459563909 - 15/06/2022 18:35:00</t>
  </si>
  <si>
    <t>321455999528</t>
  </si>
  <si>
    <t>321455999528 - 06/06/2022 23:21:00</t>
  </si>
  <si>
    <t>321455863757</t>
  </si>
  <si>
    <t>321455863757 - 06/06/2022 16:47:00</t>
  </si>
  <si>
    <t>UK07CB9810</t>
  </si>
  <si>
    <t>351455263125</t>
  </si>
  <si>
    <t>351455263125 - 04/06/2022 23:20:00</t>
  </si>
  <si>
    <t>361455070391</t>
  </si>
  <si>
    <t>361455070391 - 03/06/2022 23:43:00</t>
  </si>
  <si>
    <t>321455134356</t>
  </si>
  <si>
    <t>321455134356 - 03/06/2022 20:44:00</t>
  </si>
  <si>
    <t>UK07CA3888</t>
  </si>
  <si>
    <t>331454680246</t>
  </si>
  <si>
    <t>331454680246 - 02/06/2022 19:34:00</t>
  </si>
  <si>
    <t>PET BOTTLES 170ML 16 GM RD CLR 432</t>
  </si>
  <si>
    <t>311454087793</t>
  </si>
  <si>
    <t>311454087793 - 01/06/2022 14:54:00</t>
  </si>
  <si>
    <t>G.C. Coated Sheet</t>
  </si>
  <si>
    <t>UK04CA3830</t>
  </si>
  <si>
    <t>311455135765</t>
  </si>
  <si>
    <t>311455135765 - 03/06/2022 20:51:00</t>
  </si>
  <si>
    <t>351455133055</t>
  </si>
  <si>
    <t>05BRCPM0683F1Z0 / S S PACKAGING</t>
  </si>
  <si>
    <t>351455133055 - 03/06/2022 20:37:00</t>
  </si>
  <si>
    <t>351454243751</t>
  </si>
  <si>
    <t>351454243751 - 01/06/2022 19:02:00</t>
  </si>
  <si>
    <t>310X255X265 (7 PLY C BOX)</t>
  </si>
  <si>
    <t>381465169784</t>
  </si>
  <si>
    <t>381465169784 - 29/06/2022 19:38:00</t>
  </si>
  <si>
    <t>UK07CB4862</t>
  </si>
  <si>
    <t>391465167921</t>
  </si>
  <si>
    <t>391465167921 - 29/06/2022 19:35:00</t>
  </si>
  <si>
    <t>351464107629</t>
  </si>
  <si>
    <t>351464107629 - 28/06/2022 16:15:00</t>
  </si>
  <si>
    <t>UK07CD0439</t>
  </si>
  <si>
    <t>351464145533</t>
  </si>
  <si>
    <t>351464145533 - 27/06/2022 17:26:00</t>
  </si>
  <si>
    <t>301463828502</t>
  </si>
  <si>
    <t>301463828502 - 26/06/2022 18:42:00</t>
  </si>
  <si>
    <t>510X357X295 (7 PLY C BOX)</t>
  </si>
  <si>
    <t>391462649899</t>
  </si>
  <si>
    <t>391462649899 - 25/06/2022 06:08:00</t>
  </si>
  <si>
    <t>381462574077</t>
  </si>
  <si>
    <t>381462574077 - 23/06/2022 23:38:00</t>
  </si>
  <si>
    <t>361462158833</t>
  </si>
  <si>
    <t>361462158833 - 22/06/2022 23:13:00</t>
  </si>
  <si>
    <t>331461893134</t>
  </si>
  <si>
    <t>331461893134 - 22/06/2022 22:53:00</t>
  </si>
  <si>
    <t>341461625530</t>
  </si>
  <si>
    <t>341461625530 - 21/06/2022 23:37:00</t>
  </si>
  <si>
    <t>381461196533</t>
  </si>
  <si>
    <t>381461196533 - 20/06/2022 23:36:00</t>
  </si>
  <si>
    <t>321461251537</t>
  </si>
  <si>
    <t>321461251537 - 20/06/2022 20:09:00</t>
  </si>
  <si>
    <t>CROSSPOVIDONE XL 10</t>
  </si>
  <si>
    <t>371460659089</t>
  </si>
  <si>
    <t>371460659089 - 18/06/2022 23:13:00</t>
  </si>
  <si>
    <t>321460793296</t>
  </si>
  <si>
    <t>321460793296 - 18/06/2022 20:58:00</t>
  </si>
  <si>
    <t>301459944643</t>
  </si>
  <si>
    <t>301459944643 - 18/06/2022 19:58:00</t>
  </si>
  <si>
    <t>381460809591</t>
  </si>
  <si>
    <t>05ABNFA2675D1ZK / Aura Packaging</t>
  </si>
  <si>
    <t>381460809591 - 18/06/2022 19:17:00</t>
  </si>
  <si>
    <t>321460339074</t>
  </si>
  <si>
    <t>321460339074 - 18/06/2022 10:19:00</t>
  </si>
  <si>
    <t>UK04CB2997</t>
  </si>
  <si>
    <t>381460368469</t>
  </si>
  <si>
    <t>381460368469 - 18/06/2022 00:31:00</t>
  </si>
  <si>
    <t>371460432451</t>
  </si>
  <si>
    <t>371460432451 - 17/06/2022 21:53:00</t>
  </si>
  <si>
    <t>Cholecalciferol vitamin d3</t>
  </si>
  <si>
    <t>381459744005</t>
  </si>
  <si>
    <t>381459744005 - 16/06/2022 23:52:00</t>
  </si>
  <si>
    <t>361459810595</t>
  </si>
  <si>
    <t>361459810595 - 16/06/2022 18:32:00</t>
  </si>
  <si>
    <t>UK04CB2638</t>
  </si>
  <si>
    <t>371459445824</t>
  </si>
  <si>
    <t>371459445824 - 16/06/2022 00:08:00</t>
  </si>
  <si>
    <t>361459465829</t>
  </si>
  <si>
    <t>361459465829 - 15/06/2022 16:15:00</t>
  </si>
  <si>
    <t>381458649673</t>
  </si>
  <si>
    <t>381458649673 - 13/06/2022 19:59:00</t>
  </si>
  <si>
    <t>311458632854</t>
  </si>
  <si>
    <t>311458632854 - 13/06/2022 16:58:00</t>
  </si>
  <si>
    <t>391458077075</t>
  </si>
  <si>
    <t>391458077075 - 11/06/2022 22:50:00</t>
  </si>
  <si>
    <t>301458144187</t>
  </si>
  <si>
    <t>06AABCS1630A1Z5 / S.K.JAIN TRADING P. LTD.</t>
  </si>
  <si>
    <t>FARIDABAD / 121002</t>
  </si>
  <si>
    <t>301458144187 - 11/06/2022 21:44:00</t>
  </si>
  <si>
    <t>KETOROLAC TROMETHAMINE IP/USP (SATYADIVIS)</t>
  </si>
  <si>
    <t>351456721309</t>
  </si>
  <si>
    <t>351456721309 - 08/06/2022 13:32:00</t>
  </si>
  <si>
    <t>301456323845</t>
  </si>
  <si>
    <t>301456323845 - 07/06/2022 20:29:00</t>
  </si>
  <si>
    <t>371455475979</t>
  </si>
  <si>
    <t>371455475979 - 04/06/2022 23:20:00</t>
  </si>
  <si>
    <t>301455135072</t>
  </si>
  <si>
    <t>301455135072 - 03/06/2022 20:47:00</t>
  </si>
  <si>
    <t>311465164027</t>
  </si>
  <si>
    <t>311465164027 - 29/06/2022 19:27:00</t>
  </si>
  <si>
    <t>341460742083</t>
  </si>
  <si>
    <t>341460742083 - 18/06/2022 17:16:00</t>
  </si>
  <si>
    <t>491255431176</t>
  </si>
  <si>
    <t>491255431176 - 03/06/2022 23:43:00</t>
  </si>
  <si>
    <t>431258096594</t>
  </si>
  <si>
    <t>431258096594 - 15/06/2022 22:00:00</t>
  </si>
  <si>
    <t>UP11BT7725</t>
  </si>
  <si>
    <t>491259818672</t>
  </si>
  <si>
    <t>491259818672 - 23/06/2022 23:38:00</t>
  </si>
  <si>
    <t>UK18CA4776</t>
  </si>
  <si>
    <t>471261268546</t>
  </si>
  <si>
    <t>471261268546 - 30/06/2022 09:47:00</t>
  </si>
  <si>
    <t>621434840752</t>
  </si>
  <si>
    <t>621434840752 - 27/06/2022 19:29:00</t>
  </si>
  <si>
    <t>UK06CA5194</t>
  </si>
  <si>
    <t>621432351524</t>
  </si>
  <si>
    <t>621432351524 - 24/06/2022 21:49:00</t>
  </si>
  <si>
    <t>601430450236</t>
  </si>
  <si>
    <t>601430450236 - 14/06/2022 16:11:00</t>
  </si>
  <si>
    <t>701266717007</t>
  </si>
  <si>
    <t>701266717007 - 21/06/2022 22:00:00</t>
  </si>
  <si>
    <t>791262919196</t>
  </si>
  <si>
    <t>791262919196 - 02/06/2022 21:45:00</t>
  </si>
  <si>
    <t>721268319117</t>
  </si>
  <si>
    <t>721268319117 - 30/06/2022 00:50:00</t>
  </si>
  <si>
    <t>761267447664</t>
  </si>
  <si>
    <t>Central Delhi / 110006</t>
  </si>
  <si>
    <t>761267447664 - 28/06/2022 03:30:00</t>
  </si>
  <si>
    <t>UK04CB9246</t>
  </si>
  <si>
    <t>791265232764</t>
  </si>
  <si>
    <t>791265232764 - 14/06/2022 21:12:00</t>
  </si>
  <si>
    <t>10 KG BAG</t>
  </si>
  <si>
    <t>761263683994</t>
  </si>
  <si>
    <t>761263683994 - 06/06/2022 21:28:00</t>
  </si>
  <si>
    <t>721262795355</t>
  </si>
  <si>
    <t>721262795355 - 02/06/2022 21:45:00</t>
  </si>
  <si>
    <t>701268162726</t>
  </si>
  <si>
    <t>701268162726 - 28/06/2022 21:53:00</t>
  </si>
  <si>
    <t>711265440206</t>
  </si>
  <si>
    <t>711265440206 - 16/06/2022 21:39:00</t>
  </si>
  <si>
    <t>731264769504</t>
  </si>
  <si>
    <t>731264769504 - 11/06/2022 22:10:00</t>
  </si>
  <si>
    <t>Diamond Sahpe D Tooling</t>
  </si>
  <si>
    <t>UK18CA2216</t>
  </si>
  <si>
    <t>701263434518</t>
  </si>
  <si>
    <t>701263434518 - 06/06/2022 21:04:00</t>
  </si>
  <si>
    <t>701262770273</t>
  </si>
  <si>
    <t>701262770273 - 01/06/2022 15:24:00</t>
  </si>
  <si>
    <t>731274135641</t>
  </si>
  <si>
    <t>731274135641 - 28/07/2022 21:10:00</t>
  </si>
  <si>
    <t>751272015648</t>
  </si>
  <si>
    <t>751272015648 - 19/07/2022 21:57:00</t>
  </si>
  <si>
    <t>741269952227</t>
  </si>
  <si>
    <t>741269952227 - 09/07/2022 20:55:00</t>
  </si>
  <si>
    <t>731269011893</t>
  </si>
  <si>
    <t>731269011893 - 02/07/2022 22:11:00</t>
  </si>
  <si>
    <t>751274470663</t>
  </si>
  <si>
    <t>751274470663 - 31/07/2022 06:26:00</t>
  </si>
  <si>
    <t>HR38S7873</t>
  </si>
  <si>
    <t>721274124352</t>
  </si>
  <si>
    <t>721274124352 - 30/07/2022 19:36:00</t>
  </si>
  <si>
    <t>721272865396</t>
  </si>
  <si>
    <t>721272865396 - 24/07/2022 12:34:00</t>
  </si>
  <si>
    <t>781272196319</t>
  </si>
  <si>
    <t>781272196319 - 21/07/2022 21:52:00</t>
  </si>
  <si>
    <t>771272195467</t>
  </si>
  <si>
    <t>771272195467 - 21/07/2022 21:52:00</t>
  </si>
  <si>
    <t>791271909159</t>
  </si>
  <si>
    <t>791271909159 - 19/07/2022 21:57:00</t>
  </si>
  <si>
    <t>731271962279</t>
  </si>
  <si>
    <t>731271962279 - 19/07/2022 21:57:00</t>
  </si>
  <si>
    <t>701270382862</t>
  </si>
  <si>
    <t>08AABCU7729G1Z3 / US AMINO PVT. LTD.</t>
  </si>
  <si>
    <t>Fatehnagar / 313001</t>
  </si>
  <si>
    <t>701270382862 - 13/07/2022 18:27:00</t>
  </si>
  <si>
    <t>Ursodeoxycholic Acid Ip</t>
  </si>
  <si>
    <t>UK06CB7258</t>
  </si>
  <si>
    <t>751269879396</t>
  </si>
  <si>
    <t>751269879396 - 08/07/2022 02:32:00</t>
  </si>
  <si>
    <t>UA08J1506</t>
  </si>
  <si>
    <t>741269071283</t>
  </si>
  <si>
    <t>741269071283 - 05/07/2022 22:14:00</t>
  </si>
  <si>
    <t>751268628124</t>
  </si>
  <si>
    <t>751268628124 - 02/07/2022 22:11:00</t>
  </si>
  <si>
    <t>741273905840</t>
  </si>
  <si>
    <t>07AAAFH4633E1ZS / Hindustan Refrigeration Stores-Delhi-(- (from 1-Apr-2022)</t>
  </si>
  <si>
    <t>05AAECM6380J1ZA / MR HEALTH CARE PVT LTD-UTTRAKHAND</t>
  </si>
  <si>
    <t>delhi / 110002</t>
  </si>
  <si>
    <t>741273905840 - 31/07/2022 06:26:00</t>
  </si>
  <si>
    <t>DFS-COMPR SM185-4RG ROTOLOCK</t>
  </si>
  <si>
    <t>751274010373</t>
  </si>
  <si>
    <t>751274010373 - 28/07/2022 21:37:00</t>
  </si>
  <si>
    <t>701273386535</t>
  </si>
  <si>
    <t>701273386535 - 27/07/2022 19:57:00</t>
  </si>
  <si>
    <t>741270095272</t>
  </si>
  <si>
    <t>741270095272 - 09/07/2022 21:52:00</t>
  </si>
  <si>
    <t>721268738846</t>
  </si>
  <si>
    <t>721268738846 - 01/07/2022 22:34:00</t>
  </si>
  <si>
    <t>621445998008</t>
  </si>
  <si>
    <t>621445998008 - 28/07/2022 15:27:00</t>
  </si>
  <si>
    <t>PK PH PVC 0.250MM OP YELLOW 0120MM</t>
  </si>
  <si>
    <t>681445945411</t>
  </si>
  <si>
    <t>681445945411 - 28/07/2022 14:04:00</t>
  </si>
  <si>
    <t>671445136322</t>
  </si>
  <si>
    <t>671445136322 - 26/07/2022 15:57:00</t>
  </si>
  <si>
    <t>PK OPA/ALU/PVC 25/50/60 0142MM</t>
  </si>
  <si>
    <t>681444837010</t>
  </si>
  <si>
    <t>681444837010 - 25/07/2022 19:03:00</t>
  </si>
  <si>
    <t>621442079463</t>
  </si>
  <si>
    <t>24AALCP5224D1ZO / PRACHEM LABORATORIES PRIVATE LIMITED</t>
  </si>
  <si>
    <t>CHHATRAL / 382729</t>
  </si>
  <si>
    <t>621442079463 - 18/07/2022 16:08:00</t>
  </si>
  <si>
    <t>CLOBETASOL PROPIONATE USP</t>
  </si>
  <si>
    <t>UK18CA9918</t>
  </si>
  <si>
    <t>631439957670</t>
  </si>
  <si>
    <t>631439957670 - 12/07/2022 19:05:00</t>
  </si>
  <si>
    <t>641436870430</t>
  </si>
  <si>
    <t>24AAACE8706E1ZZ / ESPEE PHARMA CHEM PRIVATE LIMITED</t>
  </si>
  <si>
    <t>Ahmedabad / 380006</t>
  </si>
  <si>
    <t>641436870430 - 02/07/2022 19:26:00</t>
  </si>
  <si>
    <t>HYOSCINE BUTYL</t>
  </si>
  <si>
    <t>531389379181</t>
  </si>
  <si>
    <t>33BGRPA2055D1ZV / D.K. ENTERPRISES</t>
  </si>
  <si>
    <t>05AAECM6380J1ZA / M.R.HEALTHCARE PVT. LTD</t>
  </si>
  <si>
    <t>CHENNAI / 600110</t>
  </si>
  <si>
    <t>DIST.NAINITAL / 244715</t>
  </si>
  <si>
    <t>531389379181 - 14/07/2022 15:32:00</t>
  </si>
  <si>
    <t>PVP K-30</t>
  </si>
  <si>
    <t>461261956635</t>
  </si>
  <si>
    <t>461261956635 - 03/07/2022 00:34:00</t>
  </si>
  <si>
    <t>481262594469</t>
  </si>
  <si>
    <t>481262594469 - 06/07/2022 23:17:00</t>
  </si>
  <si>
    <t>411265238167</t>
  </si>
  <si>
    <t>411265238167 - 19/07/2022 09:39:00</t>
  </si>
  <si>
    <t>361476027590</t>
  </si>
  <si>
    <t>361476027590 - 27/07/2022 17:24:00</t>
  </si>
  <si>
    <t>UK07CB8126</t>
  </si>
  <si>
    <t>311470400239</t>
  </si>
  <si>
    <t>311470400239 - 13/07/2022 15:12:00</t>
  </si>
  <si>
    <t>311468650239</t>
  </si>
  <si>
    <t>311468650239 - 08/07/2022 22:58:00</t>
  </si>
  <si>
    <t>341477351744</t>
  </si>
  <si>
    <t>341477351744 - 31/07/2022 01:12:00</t>
  </si>
  <si>
    <t>381475915388</t>
  </si>
  <si>
    <t>381475915388 - 27/07/2022 23:41:00</t>
  </si>
  <si>
    <t>341475912907</t>
  </si>
  <si>
    <t>341475912907 - 27/07/2022 21:17:00</t>
  </si>
  <si>
    <t>311473368736</t>
  </si>
  <si>
    <t>311473368736 - 22/07/2022 21:56:00</t>
  </si>
  <si>
    <t>HR55AL8196</t>
  </si>
  <si>
    <t>331473630909</t>
  </si>
  <si>
    <t>331473630909 - 21/07/2022 15:30:00</t>
  </si>
  <si>
    <t>311472942023</t>
  </si>
  <si>
    <t>311472942023 - 19/07/2022 20:15:00</t>
  </si>
  <si>
    <t>345X345X170 MM (7 PLY C BOX)</t>
  </si>
  <si>
    <t>391472346753</t>
  </si>
  <si>
    <t>391472346753 - 19/07/2022 17:48:00</t>
  </si>
  <si>
    <t>321470958421</t>
  </si>
  <si>
    <t>321470958421 - 15/07/2022 00:02:00</t>
  </si>
  <si>
    <t>Sildenafil Citrate IP</t>
  </si>
  <si>
    <t>321470452527</t>
  </si>
  <si>
    <t>321470452527 - 14/07/2022 11:47:00</t>
  </si>
  <si>
    <t>381470018624</t>
  </si>
  <si>
    <t>381470018624 - 13/07/2022 22:23:00</t>
  </si>
  <si>
    <t>UK18CA1202</t>
  </si>
  <si>
    <t>391470002435</t>
  </si>
  <si>
    <t>391470002435 - 13/07/2022 00:29:00</t>
  </si>
  <si>
    <t>321469678233</t>
  </si>
  <si>
    <t>321469678233 - 11/07/2022 18:59:00</t>
  </si>
  <si>
    <t>321469044591</t>
  </si>
  <si>
    <t>321469044591 - 09/07/2022 17:16:00</t>
  </si>
  <si>
    <t>METRONIDAZOLE BENZOATE IP</t>
  </si>
  <si>
    <t>UK06CB9826</t>
  </si>
  <si>
    <t>371468653025</t>
  </si>
  <si>
    <t>371468653025 - 09/07/2022 11:51:00</t>
  </si>
  <si>
    <t>371468076206</t>
  </si>
  <si>
    <t>371468076206 - 07/07/2022 23:52:00</t>
  </si>
  <si>
    <t>341467322705</t>
  </si>
  <si>
    <t>341467322705 - 05/07/2022 22:10:00</t>
  </si>
  <si>
    <t>351465830571</t>
  </si>
  <si>
    <t>351465830571 - 02/07/2022 21:01:00</t>
  </si>
  <si>
    <t>331466482700</t>
  </si>
  <si>
    <t>331466482700 - 02/07/2022 20:11:00</t>
  </si>
  <si>
    <t>MCCP IP 101</t>
  </si>
  <si>
    <t>351465834461</t>
  </si>
  <si>
    <t>351465834461 - 01/07/2022 20:44:00</t>
  </si>
  <si>
    <t>DRIED ALUMINIUM HYDROXIDE GEL BP</t>
  </si>
  <si>
    <t>301476940950</t>
  </si>
  <si>
    <t>301476940950 - 29/07/2022 15:53:00</t>
  </si>
  <si>
    <t>UK06CA8026</t>
  </si>
  <si>
    <t>331476381921</t>
  </si>
  <si>
    <t>06AAACU5331M1Z9 / Sterile India Private Limited</t>
  </si>
  <si>
    <t>SONIPAT / 131028</t>
  </si>
  <si>
    <t>331476381921 - 28/07/2022 13:28:00</t>
  </si>
  <si>
    <t>Ceftriaxone Sodium Sterile USP</t>
  </si>
  <si>
    <t>331476025735</t>
  </si>
  <si>
    <t>331476025735 - 27/07/2022 23:41:00</t>
  </si>
  <si>
    <t>361471443072</t>
  </si>
  <si>
    <t>361471443072 - 15/07/2022 18:58:00</t>
  </si>
  <si>
    <t>UK18CA1896</t>
  </si>
  <si>
    <t>311469860402</t>
  </si>
  <si>
    <t>311469860402 - 12/07/2022 20:00:00</t>
  </si>
  <si>
    <t>321468701923</t>
  </si>
  <si>
    <t>321468701923 - 08/07/2022 17:52:00</t>
  </si>
  <si>
    <t>UK04CB9638</t>
  </si>
  <si>
    <t>301466037390</t>
  </si>
  <si>
    <t>301466037390 - 02/07/2022 00:01:00</t>
  </si>
  <si>
    <t>321465837119</t>
  </si>
  <si>
    <t>321465837119 - 01/07/2022 20:44:00</t>
  </si>
  <si>
    <t>EMULSION</t>
  </si>
  <si>
    <t>351477347957</t>
  </si>
  <si>
    <t>351477347957 - 31/07/2022 01:12:00</t>
  </si>
  <si>
    <t>301477347598</t>
  </si>
  <si>
    <t>301477347598 - 31/07/2022 01:12:00</t>
  </si>
  <si>
    <t>301476072802</t>
  </si>
  <si>
    <t>301476072802 - 27/07/2022 23:41:00</t>
  </si>
  <si>
    <t>351476131450</t>
  </si>
  <si>
    <t>351476131450 - 27/07/2022 18:56:00</t>
  </si>
  <si>
    <t>311476128869</t>
  </si>
  <si>
    <t>311476128869 - 27/07/2022 18:51:00</t>
  </si>
  <si>
    <t>331473370513</t>
  </si>
  <si>
    <t>331473370513 - 20/07/2022 19:46:00</t>
  </si>
  <si>
    <t>Packaging material</t>
  </si>
  <si>
    <t>361472915400</t>
  </si>
  <si>
    <t>361472915400 - 20/07/2022 06:31:00</t>
  </si>
  <si>
    <t>311471671735</t>
  </si>
  <si>
    <t>311471671735 - 16/07/2022 23:02:00</t>
  </si>
  <si>
    <t>351471354742</t>
  </si>
  <si>
    <t>351471354742 - 15/07/2022 19:13:00</t>
  </si>
  <si>
    <t>371470998240</t>
  </si>
  <si>
    <t>371470998240 - 14/07/2022 19:07:00</t>
  </si>
  <si>
    <t>UK18CA8499</t>
  </si>
  <si>
    <t>391470828633</t>
  </si>
  <si>
    <t>391470828633 - 14/07/2022 16:01:00</t>
  </si>
  <si>
    <t>331470403627</t>
  </si>
  <si>
    <t>331470403627 - 13/07/2022 15:18:00</t>
  </si>
  <si>
    <t>331469266453</t>
  </si>
  <si>
    <t>331469266453 - 11/07/2022 21:06:00</t>
  </si>
  <si>
    <t>371469074858</t>
  </si>
  <si>
    <t>03AFLPA0607D1ZD / TIMET ENGINEERING PUNJAB</t>
  </si>
  <si>
    <t>05AAECM6380J1ZA / M R Health Care Pvt Ltd</t>
  </si>
  <si>
    <t>Punjab / 160067</t>
  </si>
  <si>
    <t>371469074858 - 09/07/2022 16:54:00</t>
  </si>
  <si>
    <t>Multimill Shifter</t>
  </si>
  <si>
    <t>PB11CB9995</t>
  </si>
  <si>
    <t>381468658234</t>
  </si>
  <si>
    <t>381468658234 - 09/07/2022 11:53:00</t>
  </si>
  <si>
    <t>UK06CB4326</t>
  </si>
  <si>
    <t>331467183534</t>
  </si>
  <si>
    <t>05AOAPT4654B1Z7 / M/S PHARMA SOLUTIONS</t>
  </si>
  <si>
    <t>331467183534 - 05/07/2022 20:51:00</t>
  </si>
  <si>
    <t>Xanthan Gum Transparents Grade USP</t>
  </si>
  <si>
    <t>331466345289</t>
  </si>
  <si>
    <t>331466345289 - 03/07/2022 00:34:00</t>
  </si>
  <si>
    <t>361477105303</t>
  </si>
  <si>
    <t>361477105303 - 29/07/2022 19:51:00</t>
  </si>
  <si>
    <t>391477062937</t>
  </si>
  <si>
    <t>391477062937 - 30/07/2022 01:07:00</t>
  </si>
  <si>
    <t>311476534673</t>
  </si>
  <si>
    <t>311476534673 - 28/07/2022 21:52:00</t>
  </si>
  <si>
    <t>281423403315</t>
  </si>
  <si>
    <t>281423403315 - 29/04/2022 07:37:00</t>
  </si>
  <si>
    <t>ITRACONAZOLE BP</t>
  </si>
  <si>
    <t>231418526044</t>
  </si>
  <si>
    <t>231418526044 - 16/04/2022 17:34:00</t>
  </si>
  <si>
    <t>271415761286</t>
  </si>
  <si>
    <t>271415761286 - 12/04/2022 18:08:00</t>
  </si>
  <si>
    <t>201416548786</t>
  </si>
  <si>
    <t>27ABDFM1849B1ZI / MULJI MEHTA ENTERPRISES</t>
  </si>
  <si>
    <t>Mumbai / 400037</t>
  </si>
  <si>
    <t>201416548786 - 11/04/2022 19:34:00</t>
  </si>
  <si>
    <t>Mefenamic Acid</t>
  </si>
  <si>
    <t>281416554576</t>
  </si>
  <si>
    <t>27ALLPP4470H1ZQ / ASD ENGINEERING WORKS</t>
  </si>
  <si>
    <t>281416554576 - 11/04/2022 12:35:00</t>
  </si>
  <si>
    <t>STRIP CHANGE PART</t>
  </si>
  <si>
    <t>UK18CA0916</t>
  </si>
  <si>
    <t>251415861519</t>
  </si>
  <si>
    <t>251415861519 - 09/04/2022 18:32:00</t>
  </si>
  <si>
    <t>261415305586</t>
  </si>
  <si>
    <t>261415305586 - 09/04/2022 10:03:00</t>
  </si>
  <si>
    <t>291415717595</t>
  </si>
  <si>
    <t>27AAACE0940Q1ZG / ELMACH PACKAGES INDIA PVT LTD</t>
  </si>
  <si>
    <t>291415717595 - 08/04/2022 17:17:00</t>
  </si>
  <si>
    <t>CHANGE PARTS</t>
  </si>
  <si>
    <t>UK06CB1526</t>
  </si>
  <si>
    <t>281423396255</t>
  </si>
  <si>
    <t>281423396255 - 29/04/2022 07:37:00</t>
  </si>
  <si>
    <t>TADALAFIL USP</t>
  </si>
  <si>
    <t>221416560702</t>
  </si>
  <si>
    <t>221416560702 - 11/04/2022 12:44:00</t>
  </si>
  <si>
    <t>481243233130</t>
  </si>
  <si>
    <t>481243233130 - 09/04/2022 13:55:00</t>
  </si>
  <si>
    <t>461244314805</t>
  </si>
  <si>
    <t>09AAACH7447K1Z7 / HINDUSTAN MINT AND AGRO PRODUCTS PVT LTD</t>
  </si>
  <si>
    <t>05AAECM6380J1ZA / M/S M. R. HEALTHCARE PVT. LTD.</t>
  </si>
  <si>
    <t>CHANDAUSI / 244412</t>
  </si>
  <si>
    <t>461244314805 - 14/04/2022 13:30:00</t>
  </si>
  <si>
    <t>MENTHOL BOLD CRYSTAL</t>
  </si>
  <si>
    <t>UK19CA0431</t>
  </si>
  <si>
    <t>441245556666</t>
  </si>
  <si>
    <t>441245556666 - 20/04/2022 23:03:00</t>
  </si>
  <si>
    <t>681413974380</t>
  </si>
  <si>
    <t>681413974380 - 28/04/2022 11:47:00</t>
  </si>
  <si>
    <t>CLOBETASOL PROPIONATE - USP</t>
  </si>
  <si>
    <t>611408720940</t>
  </si>
  <si>
    <t>611408720940 - 14/04/2022 19:29:00</t>
  </si>
  <si>
    <t>Pharma grade - 01 - Blue colour - 0.25mm Thick - 198mm Width - Paper Core 9 - BOX - WL</t>
  </si>
  <si>
    <t>HR55AL3910</t>
  </si>
  <si>
    <t>601408056037</t>
  </si>
  <si>
    <t>601408056037 - 13/04/2022 21:14:00</t>
  </si>
  <si>
    <t>DL01MA4531</t>
  </si>
  <si>
    <t>661406149212</t>
  </si>
  <si>
    <t>24AATFS1133P1ZQ / SUHEKA INDUSTRIES</t>
  </si>
  <si>
    <t>Ahmedabad / 382445</t>
  </si>
  <si>
    <t>661406149212 - 08/04/2022 15:19:00</t>
  </si>
  <si>
    <t>Simethicone IP</t>
  </si>
  <si>
    <t>641405728719</t>
  </si>
  <si>
    <t>641405728719 - 07/04/2022 16:25:00</t>
  </si>
  <si>
    <t>Pharma grade - 01 - Blue Tone - 0.25mm Thick - 194mm Width - Paper Core 9 - BOX - WL</t>
  </si>
  <si>
    <t>HR55AK9802</t>
  </si>
  <si>
    <t>771255800210</t>
  </si>
  <si>
    <t>771255800210 - 27/04/2022 23:01:00</t>
  </si>
  <si>
    <t>UK06CB7598</t>
  </si>
  <si>
    <t>711253889198</t>
  </si>
  <si>
    <t>711253889198 - 18/04/2022 21:59:00</t>
  </si>
  <si>
    <t>711251785616</t>
  </si>
  <si>
    <t>711251785616 - 08/04/2022 04:16:00</t>
  </si>
  <si>
    <t>UK04CB9243</t>
  </si>
  <si>
    <t>701250199237</t>
  </si>
  <si>
    <t>07AACPA7560R1ZD / CHANAKYA PHARMA</t>
  </si>
  <si>
    <t>701250199237 - 03/04/2022 00:58:00</t>
  </si>
  <si>
    <t>UK04CB8557</t>
  </si>
  <si>
    <t>741250697890</t>
  </si>
  <si>
    <t>07AAFCD8504J1ZK / DLS INNOTECH PRIVATE LIMITED</t>
  </si>
  <si>
    <t>New Delhi / 110049</t>
  </si>
  <si>
    <t>741250697890 - 02/04/2022 22:43:00</t>
  </si>
  <si>
    <t>Intersil ODS-3V 250X4.6X5UM</t>
  </si>
  <si>
    <t>771255669707</t>
  </si>
  <si>
    <t>771255669707 - 28/04/2022 04:35:00</t>
  </si>
  <si>
    <t>711252198347</t>
  </si>
  <si>
    <t>711252198347 - 10/04/2022 05:38:00</t>
  </si>
  <si>
    <t>HR38X6697</t>
  </si>
  <si>
    <t>791251148040</t>
  </si>
  <si>
    <t>791251148040 - 05/04/2022 20:16:00</t>
  </si>
  <si>
    <t>721254442245</t>
  </si>
  <si>
    <t>721254442245 - 21/04/2022 02:03:00</t>
  </si>
  <si>
    <t>DL01GC6558</t>
  </si>
  <si>
    <t>741251107947</t>
  </si>
  <si>
    <t>07AABPS2383P1Z5 / DIWAN CHAND SAHANI AND SONS</t>
  </si>
  <si>
    <t>North Delhi / 110006</t>
  </si>
  <si>
    <t>741251107947 - 07/04/2022 21:22:00</t>
  </si>
  <si>
    <t>Other Chemicals</t>
  </si>
  <si>
    <t>761250955020</t>
  </si>
  <si>
    <t>761250955020 - 04/04/2022 22:43:00</t>
  </si>
  <si>
    <t>751261686749</t>
  </si>
  <si>
    <t>751261686749 - 27/05/2022 20:12:00</t>
  </si>
  <si>
    <t>731256335751</t>
  </si>
  <si>
    <t>731256335751 - 03/05/2022 00:53:00</t>
  </si>
  <si>
    <t>781259914073</t>
  </si>
  <si>
    <t>781259914073 - 20/05/2022 21:13:00</t>
  </si>
  <si>
    <t>791260333822</t>
  </si>
  <si>
    <t>791260333822 - 20/05/2022 14:26:00</t>
  </si>
  <si>
    <t>751259953163</t>
  </si>
  <si>
    <t>JAIPUR / 302003</t>
  </si>
  <si>
    <t>751259953163 - 19/05/2022 00:14:00</t>
  </si>
  <si>
    <t>PRAZIQUANTEL USP</t>
  </si>
  <si>
    <t>UK18CA2132</t>
  </si>
  <si>
    <t>761259980292</t>
  </si>
  <si>
    <t>761259980292 - 18/05/2022 19:25:00</t>
  </si>
  <si>
    <t>741259000987</t>
  </si>
  <si>
    <t>741259000987 - 13/05/2022 16:27:00</t>
  </si>
  <si>
    <t>781257725240</t>
  </si>
  <si>
    <t>781257725240 - 06/05/2022 22:43:00</t>
  </si>
  <si>
    <t>781257412607</t>
  </si>
  <si>
    <t>781257412607 - 06/05/2022 03:46:00</t>
  </si>
  <si>
    <t>DL01GC5907</t>
  </si>
  <si>
    <t>701257085801</t>
  </si>
  <si>
    <t>701257085801 - 03/05/2022 22:05:00</t>
  </si>
  <si>
    <t>BOXES</t>
  </si>
  <si>
    <t>741260964403</t>
  </si>
  <si>
    <t>07AAAFH4633E1ZS / HINDUSTAN REFRIGERATION STORES</t>
  </si>
  <si>
    <t>DARYA GANJ / 110002</t>
  </si>
  <si>
    <t>741260964403 - 24/05/2022 05:31:00</t>
  </si>
  <si>
    <t>HR55AC3791</t>
  </si>
  <si>
    <t>791256703295</t>
  </si>
  <si>
    <t>791256703295 - 03/05/2022 15:38:00</t>
  </si>
  <si>
    <t>721257863555</t>
  </si>
  <si>
    <t>721257863555 - 07/05/2022 21:39:00</t>
  </si>
  <si>
    <t>TERBINAFINE HYDROCHLORIDE IP</t>
  </si>
  <si>
    <t>631421648638</t>
  </si>
  <si>
    <t>631421648638 - 20/05/2022 19:30:00</t>
  </si>
  <si>
    <t>Acrysol K-140 (20 Kg)</t>
  </si>
  <si>
    <t>631419675990</t>
  </si>
  <si>
    <t>631419675990 - 14/05/2022 13:18:00</t>
  </si>
  <si>
    <t>UK06CA9401</t>
  </si>
  <si>
    <t>661416222433</t>
  </si>
  <si>
    <t>23AAICS4399B2ZB / Saikripa Packaging (A Unit of Shiv Offset (India) Pvt Ltd)</t>
  </si>
  <si>
    <t>Indore / 452015</t>
  </si>
  <si>
    <t>661416222433 - 06/05/2022 16:44:00</t>
  </si>
  <si>
    <t>PHARMA PACKING MATERIAL</t>
  </si>
  <si>
    <t>621415918010</t>
  </si>
  <si>
    <t>24AAACO3086D1ZS / ORCHEV PHARMA Private Limited</t>
  </si>
  <si>
    <t>VERAVAL SHAPAR / 360024</t>
  </si>
  <si>
    <t>NAINITAL RAMNAGAR / 244715</t>
  </si>
  <si>
    <t>621415918010 - 03/05/2022 18:42:00</t>
  </si>
  <si>
    <t>Ranitidine HCI</t>
  </si>
  <si>
    <t>571368926322</t>
  </si>
  <si>
    <t>33AABCL4913B1Z5 / LEISTER TECHNOLOGIES INDIA PRIVATE LIMITED</t>
  </si>
  <si>
    <t>Alandur / 600016</t>
  </si>
  <si>
    <t>571368926322 - 14/05/2022 02:20:00</t>
  </si>
  <si>
    <t>Heater type 3000, 220-230V/3000-3300W</t>
  </si>
  <si>
    <t>UK06CB4257</t>
  </si>
  <si>
    <t>411250281428</t>
  </si>
  <si>
    <t>411250281428 - 12/05/2022 00:23:00</t>
  </si>
  <si>
    <t>341452502383</t>
  </si>
  <si>
    <t>341452502383 - 28/05/2022 21:43:00</t>
  </si>
  <si>
    <t>Pvpk30</t>
  </si>
  <si>
    <t>371450788364</t>
  </si>
  <si>
    <t>371450788364 - 24/05/2022 23:37:00</t>
  </si>
  <si>
    <t>391449752769</t>
  </si>
  <si>
    <t>391449752769 - 21/05/2022 13:50:00</t>
  </si>
  <si>
    <t>Pvc Pipe Vectus 110mm</t>
  </si>
  <si>
    <t>UK04CA1223</t>
  </si>
  <si>
    <t>311448914650</t>
  </si>
  <si>
    <t>311448914650 - 19/05/2022 21:11:00</t>
  </si>
  <si>
    <t>MANNITOL IP</t>
  </si>
  <si>
    <t>351447808541</t>
  </si>
  <si>
    <t>351447808541 - 16/05/2022 20:07:00</t>
  </si>
  <si>
    <t>UP75M4906</t>
  </si>
  <si>
    <t>321445317136</t>
  </si>
  <si>
    <t>321445317136 - 11/05/2022 10:28:00</t>
  </si>
  <si>
    <t>391444731859</t>
  </si>
  <si>
    <t>391444731859 - 08/05/2022 16:48:00</t>
  </si>
  <si>
    <t>Writing Printing Paper</t>
  </si>
  <si>
    <t>UK18CA5146</t>
  </si>
  <si>
    <t>311443617613</t>
  </si>
  <si>
    <t>311443617613 - 06/05/2022 06:12:00</t>
  </si>
  <si>
    <t>301443635498</t>
  </si>
  <si>
    <t>301443635498 - 05/05/2022 21:44:00</t>
  </si>
  <si>
    <t>321442301314</t>
  </si>
  <si>
    <t>321442301314 - 02/05/2022 22:08:00</t>
  </si>
  <si>
    <t>ASPARTAME</t>
  </si>
  <si>
    <t>381442135964</t>
  </si>
  <si>
    <t>381442135964 - 01/05/2022 10:20:00</t>
  </si>
  <si>
    <t>371453185096</t>
  </si>
  <si>
    <t>371453185096 - 30/05/2022 22:33:00</t>
  </si>
  <si>
    <t>371453145889</t>
  </si>
  <si>
    <t>371453145889 - 30/05/2022 22:33:00</t>
  </si>
  <si>
    <t>361453331287</t>
  </si>
  <si>
    <t>361453331287 - 30/05/2022 22:33:00</t>
  </si>
  <si>
    <t>311452552826</t>
  </si>
  <si>
    <t>SABITGARH / 203129</t>
  </si>
  <si>
    <t>311452552826 - 28/05/2022 14:50:00</t>
  </si>
  <si>
    <t>UP17T0841</t>
  </si>
  <si>
    <t>371451177842</t>
  </si>
  <si>
    <t>371451177842 - 25/05/2022 22:06:00</t>
  </si>
  <si>
    <t>371451121823</t>
  </si>
  <si>
    <t>05AAACV6060A2ZU / VIVIMED LABS LIMITED</t>
  </si>
  <si>
    <t>371451121823 - 25/05/2022 12:35:00</t>
  </si>
  <si>
    <t>371450311889</t>
  </si>
  <si>
    <t>371450311889 - 23/05/2022 22:01:00</t>
  </si>
  <si>
    <t>391449418874</t>
  </si>
  <si>
    <t>391449418874 - 21/05/2022 00:05:00</t>
  </si>
  <si>
    <t>ALUMINIUM</t>
  </si>
  <si>
    <t>311449470601</t>
  </si>
  <si>
    <t>311449470601 - 21/05/2022 00:03:00</t>
  </si>
  <si>
    <t>331448037148</t>
  </si>
  <si>
    <t>331448037148 - 19/05/2022 22:23:00</t>
  </si>
  <si>
    <t>351448613481</t>
  </si>
  <si>
    <t>351448613481 - 18/05/2022 23:44:00</t>
  </si>
  <si>
    <t>pvc film</t>
  </si>
  <si>
    <t>371448609361</t>
  </si>
  <si>
    <t>371448609361 - 18/05/2022 19:36:00</t>
  </si>
  <si>
    <t>AMOXICILLIN TRI. IP/BP (COMP.) (VARDHMAN)</t>
  </si>
  <si>
    <t>351448204694</t>
  </si>
  <si>
    <t>02AAKHR0337K1Z8 / AVIS ENTERPRISES</t>
  </si>
  <si>
    <t>351448204694 - 17/05/2022 19:00:00</t>
  </si>
  <si>
    <t>PINKT/CT - 2</t>
  </si>
  <si>
    <t>HP938276</t>
  </si>
  <si>
    <t>311448174027</t>
  </si>
  <si>
    <t>311448174027 - 17/05/2022 18:10:00</t>
  </si>
  <si>
    <t>ORANGE/WHITE - 2</t>
  </si>
  <si>
    <t>341448016265</t>
  </si>
  <si>
    <t>341448016265 - 17/05/2022 14:01:00</t>
  </si>
  <si>
    <t>351446601053</t>
  </si>
  <si>
    <t>351446601053 - 14/05/2022 01:58:00</t>
  </si>
  <si>
    <t>361446319625</t>
  </si>
  <si>
    <t>361446319625 - 12/05/2022 23:35:00</t>
  </si>
  <si>
    <t>301445720974</t>
  </si>
  <si>
    <t>301445720974 - 12/05/2022 00:23:00</t>
  </si>
  <si>
    <t>331445764616</t>
  </si>
  <si>
    <t>331445764616 - 11/05/2022 13:07:00</t>
  </si>
  <si>
    <t>311444559145</t>
  </si>
  <si>
    <t>311444559145 - 07/05/2022 23:31:00</t>
  </si>
  <si>
    <t>301444516329</t>
  </si>
  <si>
    <t>301444516329 - 07/05/2022 23:31:00</t>
  </si>
  <si>
    <t>351444025312</t>
  </si>
  <si>
    <t>351444025312 - 06/05/2022 20:01:00</t>
  </si>
  <si>
    <t>361443602573</t>
  </si>
  <si>
    <t>361443602573 - 05/05/2022 23:41:00</t>
  </si>
  <si>
    <t>371443543275</t>
  </si>
  <si>
    <t>371443543275 - 05/05/2022 23:41:00</t>
  </si>
  <si>
    <t>331443621524</t>
  </si>
  <si>
    <t>331443621524 - 05/05/2022 21:44:00</t>
  </si>
  <si>
    <t>UK18A3698</t>
  </si>
  <si>
    <t>351443225830</t>
  </si>
  <si>
    <t>351443225830 - 05/05/2022 21:05:00</t>
  </si>
  <si>
    <t>311443728353</t>
  </si>
  <si>
    <t>311443728353 - 05/05/2022 19:36:00</t>
  </si>
  <si>
    <t>UK17CA3781</t>
  </si>
  <si>
    <t>391443181365</t>
  </si>
  <si>
    <t>391443181365 - 04/05/2022 23:12:00</t>
  </si>
  <si>
    <t>361443210277</t>
  </si>
  <si>
    <t>361443210277 - 04/05/2022 16:41:00</t>
  </si>
  <si>
    <t>PRINTED CYLINDER ROLL</t>
  </si>
  <si>
    <t>321443207909</t>
  </si>
  <si>
    <t>321443207909 - 04/05/2022 16:38:00</t>
  </si>
  <si>
    <t>301442718589</t>
  </si>
  <si>
    <t>301442718589 - 03/05/2022 21:00:00</t>
  </si>
  <si>
    <t>321442405827</t>
  </si>
  <si>
    <t>321442405827 - 02/05/2022 23:42:00</t>
  </si>
  <si>
    <t>311442434518</t>
  </si>
  <si>
    <t>311442434518 - 02/05/2022 21:33:00</t>
  </si>
  <si>
    <t>321442138176</t>
  </si>
  <si>
    <t>321442138176 - 01/05/2022 10:30:00</t>
  </si>
  <si>
    <t>341449729263</t>
  </si>
  <si>
    <t>341449729263 - 22/05/2022 00:17:00</t>
  </si>
  <si>
    <t>331451695326</t>
  </si>
  <si>
    <t>331451695326 - 27/05/2022 01:01:00</t>
  </si>
  <si>
    <t>321450877005</t>
  </si>
  <si>
    <t>321450877005 - 24/05/2022 23:37:00</t>
  </si>
  <si>
    <t>361448529165</t>
  </si>
  <si>
    <t>361448529165 - 18/05/2022 16:24:00</t>
  </si>
  <si>
    <t>UK06CB2563</t>
  </si>
  <si>
    <t>301447672615</t>
  </si>
  <si>
    <t>301447672615 - 17/05/2022 13:40:00</t>
  </si>
  <si>
    <t>371445030519</t>
  </si>
  <si>
    <t>371445030519 - 10/05/2022 19:06:00</t>
  </si>
  <si>
    <t>281427207784</t>
  </si>
  <si>
    <t>281427207784 - 10/05/2022 12:44:00</t>
  </si>
  <si>
    <t>251435702904</t>
  </si>
  <si>
    <t>27AALPM0052B1Z6 / SHIVANSH PHARMA/YASHDEEP PHARMA NUTRACEUTICALS</t>
  </si>
  <si>
    <t>251435702904 - 30/05/2022 18:30:00</t>
  </si>
  <si>
    <t>291431384667</t>
  </si>
  <si>
    <t>291431384667 - 20/05/2022 14:00:00</t>
  </si>
  <si>
    <t>BP</t>
  </si>
  <si>
    <t>241431559400</t>
  </si>
  <si>
    <t>241431559400 - 20/05/2022 14:00:00</t>
  </si>
  <si>
    <t>UK18CA4364</t>
  </si>
  <si>
    <t>221431636781</t>
  </si>
  <si>
    <t>221431636781 - 20/05/2022 14:00:00</t>
  </si>
  <si>
    <t>CEFOPERAZONE SODIUM STERILE</t>
  </si>
  <si>
    <t>UP14KT6973</t>
  </si>
  <si>
    <t>231428884367</t>
  </si>
  <si>
    <t>231428884367 - 14/05/2022 19:20:00</t>
  </si>
  <si>
    <t>DL01GC8961</t>
  </si>
  <si>
    <t>201428907764</t>
  </si>
  <si>
    <t>201428907764 - 14/05/2022 19:20:00</t>
  </si>
  <si>
    <t>201426832989</t>
  </si>
  <si>
    <t>201426832989 - 11/05/2022 17:14:00</t>
  </si>
  <si>
    <t>211428416078</t>
  </si>
  <si>
    <t>27AAAFK6752B1ZL / KANCHAN RASAYAN</t>
  </si>
  <si>
    <t>211428416078 - 11/05/2022 14:52:00</t>
  </si>
  <si>
    <t>291426451934</t>
  </si>
  <si>
    <t>291426451934 - 07/05/2022 19:23:00</t>
  </si>
  <si>
    <t>241426500455</t>
  </si>
  <si>
    <t>27ABUPG6454D1ZF / HAP ENTERPRISE</t>
  </si>
  <si>
    <t>241426500455 - 07/05/2022 19:23:00</t>
  </si>
  <si>
    <t>FEXOFENADINE HCL IP</t>
  </si>
  <si>
    <t>211426420802</t>
  </si>
  <si>
    <t>211426420802 - 07/05/2022 17:26:00</t>
  </si>
  <si>
    <t>261426155293</t>
  </si>
  <si>
    <t>261426155293 - 05/05/2022 19:59:00</t>
  </si>
  <si>
    <t>261425461737</t>
  </si>
  <si>
    <t>261425461737 - 04/05/2022 15:33:00</t>
  </si>
  <si>
    <t>251425652677</t>
  </si>
  <si>
    <t>27AAAFH4055N1Z7 / HARESH CHEMICALS</t>
  </si>
  <si>
    <t>05AAECM6380J1ZA / M R Healthcare PVT LTD</t>
  </si>
  <si>
    <t>251425652677 - 04/05/2022 15:33:00</t>
  </si>
  <si>
    <t>UK18CA4812</t>
  </si>
  <si>
    <t>221425390190</t>
  </si>
  <si>
    <t>221425390190 - 03/05/2022 21:32:00</t>
  </si>
  <si>
    <t>FEBUXOSTAT</t>
  </si>
  <si>
    <t>261432808154</t>
  </si>
  <si>
    <t>27AAEPS7171E1ZJ / HARSHADA CORPORATION</t>
  </si>
  <si>
    <t>261432808154 - 23/05/2022 22:28:00</t>
  </si>
  <si>
    <t>FUSIDIC ACID IP/EP</t>
  </si>
  <si>
    <t>251432312186</t>
  </si>
  <si>
    <t>251432312186 - 22/05/2022 16:28:00</t>
  </si>
  <si>
    <t>DEXTROMETHORPHAN HBR IP</t>
  </si>
  <si>
    <t>211432017698</t>
  </si>
  <si>
    <t>211432017698 - 20/05/2022 17:04:00</t>
  </si>
  <si>
    <t>METRONIDAZOLE</t>
  </si>
  <si>
    <t>271426794664</t>
  </si>
  <si>
    <t>271426794664 - 07/05/2022 19:23:00</t>
  </si>
  <si>
    <t>231433398796</t>
  </si>
  <si>
    <t>231433398796 - 23/05/2022 18:03:00</t>
  </si>
  <si>
    <t>291432439586</t>
  </si>
  <si>
    <t>291432439586 - 21/05/2022 16:09:00</t>
  </si>
  <si>
    <t>231428918327</t>
  </si>
  <si>
    <t>231428918327 - 14/05/2022 15:07:00</t>
  </si>
  <si>
    <t>LOPERAMIDE HYDROCHLORIDE IP</t>
  </si>
  <si>
    <t>DL01M8839</t>
  </si>
  <si>
    <t>211426155285</t>
  </si>
  <si>
    <t>211426155285 - 05/05/2022 19:59:00</t>
  </si>
  <si>
    <t>TAX RATE</t>
  </si>
  <si>
    <t>Doc</t>
  </si>
  <si>
    <t>&amp;</t>
  </si>
  <si>
    <t>DS/22-23/03188</t>
  </si>
  <si>
    <t>DS/22-23/02787</t>
  </si>
  <si>
    <t>ABSR/22-23/0747</t>
  </si>
  <si>
    <t>ABSR/22-23/0802</t>
  </si>
  <si>
    <t>22R888</t>
  </si>
  <si>
    <t>F-00542</t>
  </si>
  <si>
    <t>S/1581/22-23</t>
  </si>
  <si>
    <t>GKUK/1899/22-23</t>
  </si>
  <si>
    <t>2022-23/3336</t>
  </si>
  <si>
    <t>BP/22-23/3885</t>
  </si>
  <si>
    <t>FS/0342/2022-23</t>
  </si>
  <si>
    <t>BP/22-23/3837</t>
  </si>
  <si>
    <t>GKUK/1811/22-23</t>
  </si>
  <si>
    <t>BP/22-23/4115</t>
  </si>
  <si>
    <t>BP/22-23/4105</t>
  </si>
  <si>
    <t>Y/22-23/1735</t>
  </si>
  <si>
    <t>S/1608/22-23</t>
  </si>
  <si>
    <t>BP/22-23/4076</t>
  </si>
  <si>
    <t>MP/22-23/365</t>
  </si>
  <si>
    <t>MT/03158/22-23</t>
  </si>
  <si>
    <t>BP/22-23/4020</t>
  </si>
  <si>
    <t>BP/22-23/4013</t>
  </si>
  <si>
    <t>22-23/483</t>
  </si>
  <si>
    <t>HCI/22-23/0585</t>
  </si>
  <si>
    <t>SSP/22-23/1869</t>
  </si>
  <si>
    <t>MPR/22-23/5341</t>
  </si>
  <si>
    <t>EGI/0268/22-23</t>
  </si>
  <si>
    <t>RK/22-23/2655</t>
  </si>
  <si>
    <t>OP/00416/2022-23</t>
  </si>
  <si>
    <t>GST-2223-2317</t>
  </si>
  <si>
    <t>RPP/0800/22-23</t>
  </si>
  <si>
    <t>RRK/A001351</t>
  </si>
  <si>
    <t>APPL/22-23/7708</t>
  </si>
  <si>
    <t>RRK/A001337</t>
  </si>
  <si>
    <t>GST/HRD-388</t>
  </si>
  <si>
    <t>GST/HRD/DL-1485</t>
  </si>
  <si>
    <t>BP/22-23/3907</t>
  </si>
  <si>
    <t>PP/484</t>
  </si>
  <si>
    <t>OP/00408/2022-23</t>
  </si>
  <si>
    <t>ILPL-873</t>
  </si>
  <si>
    <t>GKUK/1844/22-23</t>
  </si>
  <si>
    <t>FS/0349/2022-23</t>
  </si>
  <si>
    <t>MPR/22-23/5131</t>
  </si>
  <si>
    <t>SSP/22-23/1787</t>
  </si>
  <si>
    <t>BP/22-23/3764</t>
  </si>
  <si>
    <t>BP/22-23/4085</t>
  </si>
  <si>
    <t>BP/22-23/4058</t>
  </si>
  <si>
    <t>MPR/22-23/5500</t>
  </si>
  <si>
    <t>FS/0369/2022-23</t>
  </si>
  <si>
    <t>MPR/22-23/5432</t>
  </si>
  <si>
    <t>RK/22-23/2744</t>
  </si>
  <si>
    <t>2022-23/000708</t>
  </si>
  <si>
    <t>T42022000540</t>
  </si>
  <si>
    <t>22-23/0694</t>
  </si>
  <si>
    <t>GCBH001989</t>
  </si>
  <si>
    <t>SAL/2261</t>
  </si>
  <si>
    <t>H09873</t>
  </si>
  <si>
    <t>SAL/2240</t>
  </si>
  <si>
    <t>PR/007</t>
  </si>
  <si>
    <t>H09600</t>
  </si>
  <si>
    <t>H09562</t>
  </si>
  <si>
    <t>2022-23/002319</t>
  </si>
  <si>
    <t>H09426</t>
  </si>
  <si>
    <t>2022-23/000696</t>
  </si>
  <si>
    <t>IN2223292489</t>
  </si>
  <si>
    <t>BP/22-23/0334</t>
  </si>
  <si>
    <t>IBS/22-23/00789</t>
  </si>
  <si>
    <t>BP/22-23/0312</t>
  </si>
  <si>
    <t>GST-2223-184</t>
  </si>
  <si>
    <t>BP/22-23/0281</t>
  </si>
  <si>
    <t>OP/00029/2022-23</t>
  </si>
  <si>
    <t>FS/0017/2022-23</t>
  </si>
  <si>
    <t>SP23</t>
  </si>
  <si>
    <t>BP/22-23/0214</t>
  </si>
  <si>
    <t>SP20</t>
  </si>
  <si>
    <t>BP/22-23/0114</t>
  </si>
  <si>
    <t>TPPL/22-23/301</t>
  </si>
  <si>
    <t>RK/22-23/0052</t>
  </si>
  <si>
    <t>GKUK/0018/22-23</t>
  </si>
  <si>
    <t>OP/00008/2022-23</t>
  </si>
  <si>
    <t>BP/22-23/0035</t>
  </si>
  <si>
    <t>FS/0345/2021-22</t>
  </si>
  <si>
    <t>PP/013</t>
  </si>
  <si>
    <t>BP/22-23/0295</t>
  </si>
  <si>
    <t>OP/00035/2022-23</t>
  </si>
  <si>
    <t>OP/00034/2022-23</t>
  </si>
  <si>
    <t>APPL/22-23/404</t>
  </si>
  <si>
    <t>APPL/22-23/402</t>
  </si>
  <si>
    <t>RK/22-23/0153</t>
  </si>
  <si>
    <t>BP/22-23/0187</t>
  </si>
  <si>
    <t>HCI/22-23/017</t>
  </si>
  <si>
    <t>BP/22-23/0149</t>
  </si>
  <si>
    <t>22-23/029</t>
  </si>
  <si>
    <t>MPR/22-23/0142</t>
  </si>
  <si>
    <t>OP/00016/2022-23</t>
  </si>
  <si>
    <t>MPR/22-23/0100</t>
  </si>
  <si>
    <t>GKUK/0049/22-23</t>
  </si>
  <si>
    <t>OP/00013/2022-23</t>
  </si>
  <si>
    <t>CHN000067</t>
  </si>
  <si>
    <t>FS/0004/2022-23</t>
  </si>
  <si>
    <t>BP/22-23/0066</t>
  </si>
  <si>
    <t>RPHP/0017/22-23</t>
  </si>
  <si>
    <t>MPR/22-23/0016</t>
  </si>
  <si>
    <t>ABSR/22-23/0705</t>
  </si>
  <si>
    <t>BP/22-23/3461</t>
  </si>
  <si>
    <t>OP/00359/2022-23</t>
  </si>
  <si>
    <t>SI/GD/2223/0529</t>
  </si>
  <si>
    <t>RRK/A001141</t>
  </si>
  <si>
    <t>BP/22-23/3297</t>
  </si>
  <si>
    <t>257/22-23</t>
  </si>
  <si>
    <t>MPR/22-23/4234</t>
  </si>
  <si>
    <t>BP/22-23/3217</t>
  </si>
  <si>
    <t>328/22-23/B</t>
  </si>
  <si>
    <t>MPR/22-23/4564</t>
  </si>
  <si>
    <t>GKUK/1589/22-23</t>
  </si>
  <si>
    <t>MPR/22-23/4341</t>
  </si>
  <si>
    <t>BP/22-23/3285</t>
  </si>
  <si>
    <t>MT/02495/22-23</t>
  </si>
  <si>
    <t>RRK/A001106</t>
  </si>
  <si>
    <t>GKUK/1617/22-23</t>
  </si>
  <si>
    <t>APPL/22-23/6576</t>
  </si>
  <si>
    <t>BP/22-23/3332</t>
  </si>
  <si>
    <t>op/00354/2022-23</t>
  </si>
  <si>
    <t>fs/0291/2022-23</t>
  </si>
  <si>
    <t>FS/0291/2022-23</t>
  </si>
  <si>
    <t>BP/22-23/3247</t>
  </si>
  <si>
    <t>MP/22-23/270</t>
  </si>
  <si>
    <t>254/22-23</t>
  </si>
  <si>
    <t>H08484</t>
  </si>
  <si>
    <t>H08179</t>
  </si>
  <si>
    <t>H07813</t>
  </si>
  <si>
    <t>H08481</t>
  </si>
  <si>
    <t>M/2022-23/002752</t>
  </si>
  <si>
    <t>DN00007</t>
  </si>
  <si>
    <t>H07812</t>
  </si>
  <si>
    <t>CDH1982</t>
  </si>
  <si>
    <t>MUMB007176</t>
  </si>
  <si>
    <t>2022-23/G/5456</t>
  </si>
  <si>
    <t>SAL/1907</t>
  </si>
  <si>
    <t>22-23/0542</t>
  </si>
  <si>
    <t>RPP/0679/22-23</t>
  </si>
  <si>
    <t>BP/22-23/3605</t>
  </si>
  <si>
    <t>RPHP/3319/22-23</t>
  </si>
  <si>
    <t>RK/22-23/2341</t>
  </si>
  <si>
    <t>BP/22-23/3499</t>
  </si>
  <si>
    <t>GKUK/1742/22-23</t>
  </si>
  <si>
    <t>AVAP/22-23/979</t>
  </si>
  <si>
    <t>RRK/A001279</t>
  </si>
  <si>
    <t>HCI/22-23/0548</t>
  </si>
  <si>
    <t>BP/22-23/3697</t>
  </si>
  <si>
    <t>FS/0335/2022-23</t>
  </si>
  <si>
    <t>RPP/0697/22-23</t>
  </si>
  <si>
    <t>GST-2223-2127</t>
  </si>
  <si>
    <t>FS/0330/2022-23</t>
  </si>
  <si>
    <t>MPR/22-23/4829</t>
  </si>
  <si>
    <t>PP/441</t>
  </si>
  <si>
    <t>BP/22-23/3611</t>
  </si>
  <si>
    <t>ABSR/22-23/0713</t>
  </si>
  <si>
    <t>SD/2022-23/1651</t>
  </si>
  <si>
    <t>RPHP/3344/22-23</t>
  </si>
  <si>
    <t>22-23/442</t>
  </si>
  <si>
    <t>BP/22-23/3520</t>
  </si>
  <si>
    <t>GKUK/1772/22-23</t>
  </si>
  <si>
    <t>GKUK/1756/22-23</t>
  </si>
  <si>
    <t>PP/451</t>
  </si>
  <si>
    <t>Y/22-23/1574</t>
  </si>
  <si>
    <t>SI/TI/22-23/814</t>
  </si>
  <si>
    <t>SP/TI/22-23/936</t>
  </si>
  <si>
    <t>RPPL/4610/22-23</t>
  </si>
  <si>
    <t>RPPL/4555/22-23</t>
  </si>
  <si>
    <t>CP/21-22/163</t>
  </si>
  <si>
    <t>SI-368/22-23</t>
  </si>
  <si>
    <t>RPPL/4362/22-23</t>
  </si>
  <si>
    <t>BPG/22-23/4254</t>
  </si>
  <si>
    <t>2022-2023/1539</t>
  </si>
  <si>
    <t>CP/22-23/40</t>
  </si>
  <si>
    <t>CP/22-23/30</t>
  </si>
  <si>
    <t>ALPL22231209</t>
  </si>
  <si>
    <t>RPPL/4671/22-23</t>
  </si>
  <si>
    <t>SIPL/22-23/3446</t>
  </si>
  <si>
    <t>ALPL22231265</t>
  </si>
  <si>
    <t>ALPL22231253</t>
  </si>
  <si>
    <t>RPPL/4894/22-23</t>
  </si>
  <si>
    <t>DCS/22-23/2240</t>
  </si>
  <si>
    <t>SI-408/22-23</t>
  </si>
  <si>
    <t>2022-23/1405</t>
  </si>
  <si>
    <t>SCPL/1291/22-23</t>
  </si>
  <si>
    <t>INV/22-23/09685</t>
  </si>
  <si>
    <t>YES/637/22-23</t>
  </si>
  <si>
    <t>PCPL/633/22-23</t>
  </si>
  <si>
    <t>I-22-23/2220</t>
  </si>
  <si>
    <t>LU3/2223/330977</t>
  </si>
  <si>
    <t>654/2022-23</t>
  </si>
  <si>
    <t>RLS/2351/22-23</t>
  </si>
  <si>
    <t>GKUK/1117/22-23</t>
  </si>
  <si>
    <t>SP407</t>
  </si>
  <si>
    <t>BP/22-23/2457</t>
  </si>
  <si>
    <t>MA/22-23/02298</t>
  </si>
  <si>
    <t>ABSR/22-23/0629</t>
  </si>
  <si>
    <t>S/1060/22-23</t>
  </si>
  <si>
    <t>IBS/22-23/06194</t>
  </si>
  <si>
    <t>AOT/778</t>
  </si>
  <si>
    <t>APPL/22-23/4857</t>
  </si>
  <si>
    <t>GKUK/1118/22-23</t>
  </si>
  <si>
    <t>OP/00270/2022-23</t>
  </si>
  <si>
    <t>FS/0211/2022-23</t>
  </si>
  <si>
    <t>SSP/22-23/597</t>
  </si>
  <si>
    <t>MPR/22-23/3219</t>
  </si>
  <si>
    <t>SSP/22-23/1223</t>
  </si>
  <si>
    <t>RPHP/2284/22-23</t>
  </si>
  <si>
    <t>OP/00274/2022-23</t>
  </si>
  <si>
    <t>RK/22-23/1655</t>
  </si>
  <si>
    <t>MPR/22-23/3601</t>
  </si>
  <si>
    <t>BP/22-23/2797</t>
  </si>
  <si>
    <t>22-23/360</t>
  </si>
  <si>
    <t>MT/02148/22-23</t>
  </si>
  <si>
    <t>RK/22-23/1855</t>
  </si>
  <si>
    <t>SSP/22-23/1293</t>
  </si>
  <si>
    <t>PP/331</t>
  </si>
  <si>
    <t>22R555</t>
  </si>
  <si>
    <t>AOT/802</t>
  </si>
  <si>
    <t>MPR/22-23/3504</t>
  </si>
  <si>
    <t>BP/22-23/2715</t>
  </si>
  <si>
    <t>MPR/22-23/3468</t>
  </si>
  <si>
    <t>MPR/22-23/3436</t>
  </si>
  <si>
    <t>BP/22-23/2686</t>
  </si>
  <si>
    <t>OP/00297/2022-23</t>
  </si>
  <si>
    <t>GST-2223-1557</t>
  </si>
  <si>
    <t>RK/22-23/1800</t>
  </si>
  <si>
    <t>CHN001807</t>
  </si>
  <si>
    <t>BP/22-23/2659</t>
  </si>
  <si>
    <t>FS/0228/2022-23</t>
  </si>
  <si>
    <t>GKUK/1186/22-23</t>
  </si>
  <si>
    <t>BP/22-23/2648</t>
  </si>
  <si>
    <t>RK/22-23/1759</t>
  </si>
  <si>
    <t>ABSR/22-23/0581</t>
  </si>
  <si>
    <t>2022-23/SA-504</t>
  </si>
  <si>
    <t>BP/22-23/2582</t>
  </si>
  <si>
    <t>RKP/22-23/322</t>
  </si>
  <si>
    <t>OP/00288/2022-23</t>
  </si>
  <si>
    <t>EIPL-561</t>
  </si>
  <si>
    <t>SP420</t>
  </si>
  <si>
    <t>GMI/22-23/0776</t>
  </si>
  <si>
    <t>S/1013/22-23</t>
  </si>
  <si>
    <t>BP/22-23/2577</t>
  </si>
  <si>
    <t>BP/22-23/2578</t>
  </si>
  <si>
    <t>RK/22-23/1717</t>
  </si>
  <si>
    <t>S/1082/22-23</t>
  </si>
  <si>
    <t>SPPL/22-23/D3648</t>
  </si>
  <si>
    <t>SPPL/22-23/D3619</t>
  </si>
  <si>
    <t>M/2022-23/002108</t>
  </si>
  <si>
    <t>H06458</t>
  </si>
  <si>
    <t>2022-23/M1611</t>
  </si>
  <si>
    <t>H06301</t>
  </si>
  <si>
    <t>MUMB004979</t>
  </si>
  <si>
    <t>H06249</t>
  </si>
  <si>
    <t>2022-23/M1533</t>
  </si>
  <si>
    <t>FWI/22-23/167</t>
  </si>
  <si>
    <t>2022-23/M1987</t>
  </si>
  <si>
    <t>22-23/0459</t>
  </si>
  <si>
    <t>H07549</t>
  </si>
  <si>
    <t>2022-23/722</t>
  </si>
  <si>
    <t>H07026</t>
  </si>
  <si>
    <t>H06783</t>
  </si>
  <si>
    <t>SPPL/22-23/D4119</t>
  </si>
  <si>
    <t>SAL/1622</t>
  </si>
  <si>
    <t>H07594</t>
  </si>
  <si>
    <t>MUMB005926</t>
  </si>
  <si>
    <t>H07350</t>
  </si>
  <si>
    <t>T42022000148</t>
  </si>
  <si>
    <t>GCBH001390</t>
  </si>
  <si>
    <t>HCI/22-23/0430</t>
  </si>
  <si>
    <t>FS/0251/2022-23</t>
  </si>
  <si>
    <t>OP/00311/2022-23</t>
  </si>
  <si>
    <t>MPR/22-23/4093</t>
  </si>
  <si>
    <t>MP/22-23/264</t>
  </si>
  <si>
    <t>AP/2022-23/00643</t>
  </si>
  <si>
    <t>MPR/22-23/3904</t>
  </si>
  <si>
    <t>304/22-23/B</t>
  </si>
  <si>
    <t>MPR/22-23/3821</t>
  </si>
  <si>
    <t>NE/22-23/0002383</t>
  </si>
  <si>
    <t>NE/22-23/0002374</t>
  </si>
  <si>
    <t>OP/00316/2022-23</t>
  </si>
  <si>
    <t>BP/22-23/2858</t>
  </si>
  <si>
    <t>BP/22-23/2845</t>
  </si>
  <si>
    <t>HCI/22-23/0413</t>
  </si>
  <si>
    <t>BP/22-23/2833</t>
  </si>
  <si>
    <t>2022-23/2637</t>
  </si>
  <si>
    <t>VTC/22-23/916</t>
  </si>
  <si>
    <t>MPR/22-23/4051</t>
  </si>
  <si>
    <t>BP/22-23/3107</t>
  </si>
  <si>
    <t>TI-651</t>
  </si>
  <si>
    <t>OP/00332/2022-23</t>
  </si>
  <si>
    <t>CHN002060</t>
  </si>
  <si>
    <t>BP/22-23/3018</t>
  </si>
  <si>
    <t>ABSR/22-23/0662</t>
  </si>
  <si>
    <t>OP/00325/2022-23</t>
  </si>
  <si>
    <t>BP/22-23/2988</t>
  </si>
  <si>
    <t>FS/0256/2022-23</t>
  </si>
  <si>
    <t>GN/22-23/109</t>
  </si>
  <si>
    <t>BP/22-23/2941</t>
  </si>
  <si>
    <t>BP/22-23/2908</t>
  </si>
  <si>
    <t>MPR/22-23/3673</t>
  </si>
  <si>
    <t>APPL/22-23/5431</t>
  </si>
  <si>
    <t>RK/22-23/2122</t>
  </si>
  <si>
    <t>FS/0277/2022-23</t>
  </si>
  <si>
    <t>APPL/22-23/5987</t>
  </si>
  <si>
    <t>S/1203/22-23</t>
  </si>
  <si>
    <t>BP/22-23/3074</t>
  </si>
  <si>
    <t>MPR/22-23/3933</t>
  </si>
  <si>
    <t>GST-2223-1722</t>
  </si>
  <si>
    <t>GKUK/1350/22-23</t>
  </si>
  <si>
    <t>OP/00324/2022-23</t>
  </si>
  <si>
    <t>ILPL-614</t>
  </si>
  <si>
    <t>196/22-23</t>
  </si>
  <si>
    <t>PCPL/482/22-23</t>
  </si>
  <si>
    <t>RLS/1550/22-23</t>
  </si>
  <si>
    <t>PPL/2022-23/3447</t>
  </si>
  <si>
    <t>RPPL/3847/22-23</t>
  </si>
  <si>
    <t>RPPL/3698/22-23</t>
  </si>
  <si>
    <t>DCS/22-23/1699</t>
  </si>
  <si>
    <t>BPG/22-23/2590</t>
  </si>
  <si>
    <t>SI/KD/2223/0643</t>
  </si>
  <si>
    <t>BPG/22-23/2951</t>
  </si>
  <si>
    <t>PPL/2022-23/3568</t>
  </si>
  <si>
    <t>BPG/22-23/2858</t>
  </si>
  <si>
    <t>BPG/22-23/2849</t>
  </si>
  <si>
    <t>DCS/22-23/1765</t>
  </si>
  <si>
    <t>ALPL22230974</t>
  </si>
  <si>
    <t>2022-2023/966</t>
  </si>
  <si>
    <t>RPPL/3622/22-23</t>
  </si>
  <si>
    <t>2022-2023/922</t>
  </si>
  <si>
    <t>SI-283/22-23</t>
  </si>
  <si>
    <t>22-23/110</t>
  </si>
  <si>
    <t>22-23/109</t>
  </si>
  <si>
    <t>2022-2023/857</t>
  </si>
  <si>
    <t>22-23/002573</t>
  </si>
  <si>
    <t>DCS/22-23/1825</t>
  </si>
  <si>
    <t>2022-2023/1060</t>
  </si>
  <si>
    <t>SI-316/22-23</t>
  </si>
  <si>
    <t>CP/21-23/4</t>
  </si>
  <si>
    <t>SLC/22-23/001096</t>
  </si>
  <si>
    <t>INV/22-23/08004</t>
  </si>
  <si>
    <t>I-22-23/1736</t>
  </si>
  <si>
    <t>KI/677/2022</t>
  </si>
  <si>
    <t>MPR/22-23/2598</t>
  </si>
  <si>
    <t>OP/00231/2022-23</t>
  </si>
  <si>
    <t>MPR/22-23/2554</t>
  </si>
  <si>
    <t>RRK/A000638</t>
  </si>
  <si>
    <t>FS/0155/2022-23</t>
  </si>
  <si>
    <t>22-23/282</t>
  </si>
  <si>
    <t>SSP/22-23/988</t>
  </si>
  <si>
    <t>S/0856/22-23</t>
  </si>
  <si>
    <t>ROOR000929</t>
  </si>
  <si>
    <t>ABSR/22-23/0438</t>
  </si>
  <si>
    <t>RRK/A000668</t>
  </si>
  <si>
    <t>BP/22-23/2054</t>
  </si>
  <si>
    <t>BADI003210</t>
  </si>
  <si>
    <t>Y/22-23/0780</t>
  </si>
  <si>
    <t>BP/22-23/2014</t>
  </si>
  <si>
    <t>BP/22-23/1989</t>
  </si>
  <si>
    <t>APPL/22-23/3762</t>
  </si>
  <si>
    <t>MPR/22-23/2463</t>
  </si>
  <si>
    <t>GMI/22-23/0594</t>
  </si>
  <si>
    <t>AP/2022-23/00407</t>
  </si>
  <si>
    <t>MPR/22-23/2448</t>
  </si>
  <si>
    <t>GKUK/0843/22-23</t>
  </si>
  <si>
    <t>RK/22-23/1302</t>
  </si>
  <si>
    <t>RRK/A000632</t>
  </si>
  <si>
    <t>RRK/A000635</t>
  </si>
  <si>
    <t>RK/22-23/1272</t>
  </si>
  <si>
    <t>ABSR/22-23/0417</t>
  </si>
  <si>
    <t>MA/22-23/01801</t>
  </si>
  <si>
    <t>S/0810/22-23</t>
  </si>
  <si>
    <t>OP/00216/2022-23</t>
  </si>
  <si>
    <t>BP/22-23/1898</t>
  </si>
  <si>
    <t>SSP/22-23/891</t>
  </si>
  <si>
    <t>BADI002904</t>
  </si>
  <si>
    <t>RRK/A000589</t>
  </si>
  <si>
    <t>RRK/A000575</t>
  </si>
  <si>
    <t>S/0784/22-23</t>
  </si>
  <si>
    <t>BP/22-23/1841</t>
  </si>
  <si>
    <t>FS/0147/2022-23</t>
  </si>
  <si>
    <t>BP/22-23/1829</t>
  </si>
  <si>
    <t>SSP/22-23/433</t>
  </si>
  <si>
    <t>MPDH/22-23/0238</t>
  </si>
  <si>
    <t>AP/2022-23/00364</t>
  </si>
  <si>
    <t>ABSR/22-23/0391</t>
  </si>
  <si>
    <t>GKUK/0761/22-23</t>
  </si>
  <si>
    <t>MPR/22-23/2152</t>
  </si>
  <si>
    <t>BP/22-23/1800</t>
  </si>
  <si>
    <t>SSE/22-23/488</t>
  </si>
  <si>
    <t>ABSR/22-23/0384</t>
  </si>
  <si>
    <t>RK/22-23/1166</t>
  </si>
  <si>
    <t>BP/22-23/1786</t>
  </si>
  <si>
    <t>ABSR/22-23/0383</t>
  </si>
  <si>
    <t>MPR/22-23/2124</t>
  </si>
  <si>
    <t>22-23/236</t>
  </si>
  <si>
    <t>GKUK/0737/22-23</t>
  </si>
  <si>
    <t>RK/22-23/1154</t>
  </si>
  <si>
    <t>H04973</t>
  </si>
  <si>
    <t>SAL/0697</t>
  </si>
  <si>
    <t>22-23/0236</t>
  </si>
  <si>
    <t>2022-23/G/2733</t>
  </si>
  <si>
    <t>H04777</t>
  </si>
  <si>
    <t>B01052</t>
  </si>
  <si>
    <t>A6/S/22-23/1551</t>
  </si>
  <si>
    <t>GI/3414</t>
  </si>
  <si>
    <t>22-23/0205</t>
  </si>
  <si>
    <t>22-23/0191</t>
  </si>
  <si>
    <t>2022-23/000676</t>
  </si>
  <si>
    <t>B00981</t>
  </si>
  <si>
    <t>SPPL/22-23/D2406</t>
  </si>
  <si>
    <t>SPPL/22-23/D2367</t>
  </si>
  <si>
    <t>22-23/0181</t>
  </si>
  <si>
    <t>GCBH000743</t>
  </si>
  <si>
    <t>2022-23/G/2902</t>
  </si>
  <si>
    <t>2022-23/501</t>
  </si>
  <si>
    <t>2022-23/M1081</t>
  </si>
  <si>
    <t>SAL/0909</t>
  </si>
  <si>
    <t>SPPL/22-23/D2591</t>
  </si>
  <si>
    <t>H04592</t>
  </si>
  <si>
    <t>2022-23/000347</t>
  </si>
  <si>
    <t>SBH/0069/22-23</t>
  </si>
  <si>
    <t>H05568</t>
  </si>
  <si>
    <t>2022-23/0642</t>
  </si>
  <si>
    <t>CDH1529</t>
  </si>
  <si>
    <t>SAL/1094</t>
  </si>
  <si>
    <t>22-23/0271</t>
  </si>
  <si>
    <t>TI-464</t>
  </si>
  <si>
    <t>OP/00265/2022-23</t>
  </si>
  <si>
    <t>22-23/311</t>
  </si>
  <si>
    <t>22-23/308</t>
  </si>
  <si>
    <t>BP/22-23/2360</t>
  </si>
  <si>
    <t>MPR/22-23/2897</t>
  </si>
  <si>
    <t>GKUK/0961/22-23</t>
  </si>
  <si>
    <t>FS/0182/2022-23</t>
  </si>
  <si>
    <t>BP/22-23/2169</t>
  </si>
  <si>
    <t>MP/22-23/177</t>
  </si>
  <si>
    <t>GKUK/0934/22-23</t>
  </si>
  <si>
    <t>2022-23/0269</t>
  </si>
  <si>
    <t>AP/2022-23/00437</t>
  </si>
  <si>
    <t>BP/22-23/2100</t>
  </si>
  <si>
    <t>S/0897/22-23</t>
  </si>
  <si>
    <t>PP/252</t>
  </si>
  <si>
    <t>ABSR/22-23/0461</t>
  </si>
  <si>
    <t>ABSR/22-23/0462</t>
  </si>
  <si>
    <t>BP/22-23/2131</t>
  </si>
  <si>
    <t>OP/00240/2022-23</t>
  </si>
  <si>
    <t>RK/22-23/1612</t>
  </si>
  <si>
    <t>OP/00260/2022-23</t>
  </si>
  <si>
    <t>ABSR/22-23/0514</t>
  </si>
  <si>
    <t>Y/22-23/0891</t>
  </si>
  <si>
    <t>BP/22-23/2340</t>
  </si>
  <si>
    <t>SSP/22-23/1122</t>
  </si>
  <si>
    <t>S/0939/22-23</t>
  </si>
  <si>
    <t>AP/2022-23/00480</t>
  </si>
  <si>
    <t>EIPL-507</t>
  </si>
  <si>
    <t>IBS/22-23/05303</t>
  </si>
  <si>
    <t>BP/22-23/2280</t>
  </si>
  <si>
    <t>2022-23/0287</t>
  </si>
  <si>
    <t>VTC/22-23/688</t>
  </si>
  <si>
    <t>RK/22-23/1506</t>
  </si>
  <si>
    <t>BP/22-23/2252</t>
  </si>
  <si>
    <t>ABSR/22-23/0497</t>
  </si>
  <si>
    <t>BP/22-23/2243</t>
  </si>
  <si>
    <t>2022-23/0280</t>
  </si>
  <si>
    <t>FS/0191/2022-23</t>
  </si>
  <si>
    <t>HCI/22-23/0342</t>
  </si>
  <si>
    <t>GKUK/0976/22-23</t>
  </si>
  <si>
    <t>GKUK/0977/22-23</t>
  </si>
  <si>
    <t>BP/22-23/2223</t>
  </si>
  <si>
    <t>RK/22-23/1452</t>
  </si>
  <si>
    <t>ABSR/22-23/0473</t>
  </si>
  <si>
    <t>MPR/22-23/2739</t>
  </si>
  <si>
    <t>MPR/22-23/2990</t>
  </si>
  <si>
    <t>2022-23/1850</t>
  </si>
  <si>
    <t>RK/22-23/1572</t>
  </si>
  <si>
    <t>PCPL/371/22-23</t>
  </si>
  <si>
    <t>KI/485/2022</t>
  </si>
  <si>
    <t>318/22-23</t>
  </si>
  <si>
    <t>RLS/1069/22-23</t>
  </si>
  <si>
    <t>TTC/509/22-23</t>
  </si>
  <si>
    <t>PPL/2022-23/2849</t>
  </si>
  <si>
    <t>RPPL/2807/22-23</t>
  </si>
  <si>
    <t>RPPL/2767/22-23</t>
  </si>
  <si>
    <t>BPG/22-23/1926</t>
  </si>
  <si>
    <t>2022-2023/658</t>
  </si>
  <si>
    <t>ALPL22230739</t>
  </si>
  <si>
    <t>RPPL/2657/22-23</t>
  </si>
  <si>
    <t>2022-23/0673</t>
  </si>
  <si>
    <t>RPPL/2813/22-23</t>
  </si>
  <si>
    <t>2022-23/0672</t>
  </si>
  <si>
    <t>RPPL/2936/22-23</t>
  </si>
  <si>
    <t>PPL/2022-23/2894</t>
  </si>
  <si>
    <t>ALPL22230738</t>
  </si>
  <si>
    <t>22-23/83</t>
  </si>
  <si>
    <t>GB4050Y2022-23</t>
  </si>
  <si>
    <t>GB4049Y2022-23</t>
  </si>
  <si>
    <t>SIPL/22-23/2134</t>
  </si>
  <si>
    <t>22-23/98</t>
  </si>
  <si>
    <t>SI-263/22-23</t>
  </si>
  <si>
    <t>M/22-23/02902</t>
  </si>
  <si>
    <t>2022-2023/793</t>
  </si>
  <si>
    <t>SI-231/22-23</t>
  </si>
  <si>
    <t>SP0684</t>
  </si>
  <si>
    <t>SAL/22-23/0262</t>
  </si>
  <si>
    <t>H02713</t>
  </si>
  <si>
    <t>SPPL/22-23/D1615</t>
  </si>
  <si>
    <t>H02793</t>
  </si>
  <si>
    <t>SAL/0423</t>
  </si>
  <si>
    <t>SAL/0400</t>
  </si>
  <si>
    <t>M/2022-23/001089</t>
  </si>
  <si>
    <t>2022-23/314</t>
  </si>
  <si>
    <t>VP0274/22-23</t>
  </si>
  <si>
    <t>SAL/000385</t>
  </si>
  <si>
    <t>AP0363</t>
  </si>
  <si>
    <t>SAL/0447</t>
  </si>
  <si>
    <t>H02707</t>
  </si>
  <si>
    <t>SPPL/22-23/D1525</t>
  </si>
  <si>
    <t>SAL/0397</t>
  </si>
  <si>
    <t>H02502</t>
  </si>
  <si>
    <t>H03194</t>
  </si>
  <si>
    <t>GCBH000722</t>
  </si>
  <si>
    <t>H03513</t>
  </si>
  <si>
    <t>H03507</t>
  </si>
  <si>
    <t>SAL/0526</t>
  </si>
  <si>
    <t>SAL/0689</t>
  </si>
  <si>
    <t>MUMB003029</t>
  </si>
  <si>
    <t>SAL/0585</t>
  </si>
  <si>
    <t>22-23/0134</t>
  </si>
  <si>
    <t>H03429</t>
  </si>
  <si>
    <t>MPR/22-23/2034</t>
  </si>
  <si>
    <t>206/22-23/B</t>
  </si>
  <si>
    <t>84/22-23</t>
  </si>
  <si>
    <t>RK/22-23/1096</t>
  </si>
  <si>
    <t>S/0717/22-23</t>
  </si>
  <si>
    <t>OP/00183/2022-23</t>
  </si>
  <si>
    <t>IBS/22-23/03611</t>
  </si>
  <si>
    <t>OP/00161/2022-23</t>
  </si>
  <si>
    <t>pp/0187</t>
  </si>
  <si>
    <t>BP/22-23/1745</t>
  </si>
  <si>
    <t>GKUK/0718/22-23</t>
  </si>
  <si>
    <t>AP/2022-23/00331</t>
  </si>
  <si>
    <t>GKUK/0705/22-23</t>
  </si>
  <si>
    <t>85/22-23</t>
  </si>
  <si>
    <t>MPR/22-23/1958</t>
  </si>
  <si>
    <t>FS/0139/2022-23</t>
  </si>
  <si>
    <t>SSP/22-23/757</t>
  </si>
  <si>
    <t>RK/22-23/1060</t>
  </si>
  <si>
    <t>TPPL/22-23/4265</t>
  </si>
  <si>
    <t>BP/22-23/1621</t>
  </si>
  <si>
    <t>S/0705/22-23</t>
  </si>
  <si>
    <t>22-23/212</t>
  </si>
  <si>
    <t>PP/168</t>
  </si>
  <si>
    <t>OP/00181/2022-23</t>
  </si>
  <si>
    <t>OP/00177/2022-23</t>
  </si>
  <si>
    <t>OP/00176/2022-23</t>
  </si>
  <si>
    <t>GST-2223-833</t>
  </si>
  <si>
    <t>BP/22-23/1547</t>
  </si>
  <si>
    <t>MT/01183/22-23</t>
  </si>
  <si>
    <t>ABSR/22-23/0310</t>
  </si>
  <si>
    <t>BP/22-23/1517</t>
  </si>
  <si>
    <t>FS/0124/2022-23</t>
  </si>
  <si>
    <t>RKP/22-23/185</t>
  </si>
  <si>
    <t>RK/22-23/0982</t>
  </si>
  <si>
    <t>GKUK/0608/22-23</t>
  </si>
  <si>
    <t>AP/2022-23/00288</t>
  </si>
  <si>
    <t>APPL/22-23/2747</t>
  </si>
  <si>
    <t>TI-307</t>
  </si>
  <si>
    <t>OP/00165/2022-23</t>
  </si>
  <si>
    <t>APPL/22-23/2686</t>
  </si>
  <si>
    <t>MPR/22-23/1597</t>
  </si>
  <si>
    <t>GMI/22-23/0409</t>
  </si>
  <si>
    <t>BP/22-23/1444</t>
  </si>
  <si>
    <t>OP/00159/2022-23</t>
  </si>
  <si>
    <t>VN55122</t>
  </si>
  <si>
    <t>BARO000156</t>
  </si>
  <si>
    <t>INV/22-23/03242</t>
  </si>
  <si>
    <t>INV/22-23/03241</t>
  </si>
  <si>
    <t>2223-016</t>
  </si>
  <si>
    <t>RPPL/1720/22-23</t>
  </si>
  <si>
    <t>SIPL/22-23/1158</t>
  </si>
  <si>
    <t>2022-2023/378</t>
  </si>
  <si>
    <t>RPPL/2070/22-23</t>
  </si>
  <si>
    <t>2022-23/0421</t>
  </si>
  <si>
    <t>22-23/001191</t>
  </si>
  <si>
    <t>RPPL/1842/22-23</t>
  </si>
  <si>
    <t>SIPL/22-23/1142</t>
  </si>
  <si>
    <t>RPPL/2144/22-23</t>
  </si>
  <si>
    <t>RE-385/22-23</t>
  </si>
  <si>
    <t>2022-2023/415</t>
  </si>
  <si>
    <t>2022-23/0192</t>
  </si>
  <si>
    <t>ALPL22230494</t>
  </si>
  <si>
    <t>RPPL/1860/22-23</t>
  </si>
  <si>
    <t>SI/KD/2223/0422</t>
  </si>
  <si>
    <t>22-23/001612</t>
  </si>
  <si>
    <t>BPG/22-23/1661</t>
  </si>
  <si>
    <t>RPPL/2526/22-23</t>
  </si>
  <si>
    <t>RPPL/2350/22-23</t>
  </si>
  <si>
    <t>ACPL/22-23/1803</t>
  </si>
  <si>
    <t>2022-2023/496</t>
  </si>
  <si>
    <t>2022-23/0646</t>
  </si>
  <si>
    <t>SI/KD/2223/0413</t>
  </si>
  <si>
    <t>2022-2023/559</t>
  </si>
  <si>
    <t>2022-23/0254</t>
  </si>
  <si>
    <t>TTC/468/22-23</t>
  </si>
  <si>
    <t>ACPL/22-23/2050</t>
  </si>
  <si>
    <t>RPPL/2494/22-23</t>
  </si>
  <si>
    <t>SI-174/22-23</t>
  </si>
  <si>
    <t>2022-2023/532</t>
  </si>
  <si>
    <t>RPPL/2411/22-23</t>
  </si>
  <si>
    <t>RPPL/2345/22-23</t>
  </si>
  <si>
    <t>SIPL/22-23/1521</t>
  </si>
  <si>
    <t>PPL/2022-23/2560</t>
  </si>
  <si>
    <t>ALPL22230603</t>
  </si>
  <si>
    <t>22-23/001402</t>
  </si>
  <si>
    <t>ACPL/22-23/1714</t>
  </si>
  <si>
    <t>22-23/63</t>
  </si>
  <si>
    <t>RPPL/2160/22-23</t>
  </si>
  <si>
    <t>I-22-23/0979</t>
  </si>
  <si>
    <t>KI/357/2022</t>
  </si>
  <si>
    <t>UE1232201592</t>
  </si>
  <si>
    <t>JAS-322</t>
  </si>
  <si>
    <t>I-22-23/0895</t>
  </si>
  <si>
    <t>UE1232201585</t>
  </si>
  <si>
    <t>SI/TI/22-23/375</t>
  </si>
  <si>
    <t>SP/TI/22-23/444</t>
  </si>
  <si>
    <t>GST-105</t>
  </si>
  <si>
    <t>M/2022-23/000510</t>
  </si>
  <si>
    <t>SPPL/22-23/D1398</t>
  </si>
  <si>
    <t>H02281</t>
  </si>
  <si>
    <t>M/2022-23/000696</t>
  </si>
  <si>
    <t>SAL/0274</t>
  </si>
  <si>
    <t>H01833</t>
  </si>
  <si>
    <t>MUMB001652</t>
  </si>
  <si>
    <t>H01807</t>
  </si>
  <si>
    <t>H01602</t>
  </si>
  <si>
    <t>SPPL/22-23/D1022</t>
  </si>
  <si>
    <t>SRC/0557</t>
  </si>
  <si>
    <t>FWI/22-23/48</t>
  </si>
  <si>
    <t>BP/22-23/0853</t>
  </si>
  <si>
    <t>MPR/22-23/0825</t>
  </si>
  <si>
    <t>GST-2223-387</t>
  </si>
  <si>
    <t>ABSR/22-23/0170</t>
  </si>
  <si>
    <t>BP/22-23/1085</t>
  </si>
  <si>
    <t>RK/22-23/0688</t>
  </si>
  <si>
    <t>BP/22-23/1067</t>
  </si>
  <si>
    <t>GKUK/0396/22-23</t>
  </si>
  <si>
    <t>TPPL/22-23/2229</t>
  </si>
  <si>
    <t>BP/22-23/0814</t>
  </si>
  <si>
    <t>RPHP/0636/22-23</t>
  </si>
  <si>
    <t>BP/22-23/0790</t>
  </si>
  <si>
    <t>BP/22-23/0784</t>
  </si>
  <si>
    <t>GST-2223-388</t>
  </si>
  <si>
    <t>SSP/22-23/327</t>
  </si>
  <si>
    <t>MPR/22-23/1124</t>
  </si>
  <si>
    <t>SSP/22-23/478</t>
  </si>
  <si>
    <t>SP/159</t>
  </si>
  <si>
    <t>BP/22-23/1019</t>
  </si>
  <si>
    <t>BP/22-23/1003</t>
  </si>
  <si>
    <t>2022-23/0105</t>
  </si>
  <si>
    <t>GKUK/0409/22-23</t>
  </si>
  <si>
    <t>BP/22-23/0975</t>
  </si>
  <si>
    <t>OP/00107/2022-23</t>
  </si>
  <si>
    <t>ABSR/22-23/0141</t>
  </si>
  <si>
    <t>FS/0076/2022-23</t>
  </si>
  <si>
    <t>AP/2022-23/00186</t>
  </si>
  <si>
    <t>BP/22-23/0955</t>
  </si>
  <si>
    <t>Op/00105/2022-23</t>
  </si>
  <si>
    <t>GKUK/0389/22-23</t>
  </si>
  <si>
    <t>MPR/22-23/0968</t>
  </si>
  <si>
    <t>RK/22-23/0581</t>
  </si>
  <si>
    <t>APPL/22-23/1639</t>
  </si>
  <si>
    <t>RPHP/0699/22-23</t>
  </si>
  <si>
    <t>BP/22-23/0877</t>
  </si>
  <si>
    <t>AP/2022-23/00159</t>
  </si>
  <si>
    <t>OP/00090/2022-23</t>
  </si>
  <si>
    <t>PP/069</t>
  </si>
  <si>
    <t>I-22-23/0482</t>
  </si>
  <si>
    <t>KI/164/2022</t>
  </si>
  <si>
    <t>SI-078/22-23</t>
  </si>
  <si>
    <t>RE-225/22-23</t>
  </si>
  <si>
    <t>DCS/22-23/0399</t>
  </si>
  <si>
    <t>RPPL/0835/22-23</t>
  </si>
  <si>
    <t>2022-2023/164</t>
  </si>
  <si>
    <t>RPPL/0987/22-23</t>
  </si>
  <si>
    <t>2022-2023/174</t>
  </si>
  <si>
    <t>ALPL22230182</t>
  </si>
  <si>
    <t>22-23/001079</t>
  </si>
  <si>
    <t>DCS/22-23/0621</t>
  </si>
  <si>
    <t>2022-23/270/271</t>
  </si>
  <si>
    <t>22-23/33</t>
  </si>
  <si>
    <t>RE-322/22-23</t>
  </si>
  <si>
    <t>RPPL/1515/22-23</t>
  </si>
  <si>
    <t>RPPL/1467/22-23</t>
  </si>
  <si>
    <t>RPPL/1468/22-23</t>
  </si>
  <si>
    <t>RPPL/1445/22-23</t>
  </si>
  <si>
    <t>UAPL/22-23/66</t>
  </si>
  <si>
    <t>SIPL/22-23/929</t>
  </si>
  <si>
    <t>2022-2023/259</t>
  </si>
  <si>
    <t>RPPL/1214/22-23</t>
  </si>
  <si>
    <t>HRS/22-23/36408</t>
  </si>
  <si>
    <t>RPPL/1604/22-23</t>
  </si>
  <si>
    <t>22-23/51</t>
  </si>
  <si>
    <t>RPPL/1306/22-23</t>
  </si>
  <si>
    <t>SIPL/22-23/837</t>
  </si>
  <si>
    <t>UE1232200903</t>
  </si>
  <si>
    <t>UE1232200863</t>
  </si>
  <si>
    <t>PL22230605</t>
  </si>
  <si>
    <t>I-22-23/0575</t>
  </si>
  <si>
    <t>GST0314</t>
  </si>
  <si>
    <t>SAL/000836</t>
  </si>
  <si>
    <t>VTC/22-23/381</t>
  </si>
  <si>
    <t>RK/22-23/0763</t>
  </si>
  <si>
    <t>RRK/A000399</t>
  </si>
  <si>
    <t>ABSR/22-23/0245</t>
  </si>
  <si>
    <t>OP/00152/2022-23</t>
  </si>
  <si>
    <t>FS/0108//2022-23</t>
  </si>
  <si>
    <t>SSP/22-23/314</t>
  </si>
  <si>
    <t>SSP/22-23/589</t>
  </si>
  <si>
    <t>MPR/22-23/1409</t>
  </si>
  <si>
    <t>ABSR/22-23/0214</t>
  </si>
  <si>
    <t>FS/0099/2022-23</t>
  </si>
  <si>
    <t>ABSR/22-23/0201</t>
  </si>
  <si>
    <t>AP/2022-23/00229</t>
  </si>
  <si>
    <t>MPR/22-23/1297</t>
  </si>
  <si>
    <t>RRK/A000319</t>
  </si>
  <si>
    <t>RK/22-23/0737</t>
  </si>
  <si>
    <t>FS/0090/2022-23</t>
  </si>
  <si>
    <t>OP/00123/2022-23</t>
  </si>
  <si>
    <t>OP/00119/2022-23</t>
  </si>
  <si>
    <t>MPR/22-23/1528</t>
  </si>
  <si>
    <t>484/2022-23</t>
  </si>
  <si>
    <t>BP/22-23/1378</t>
  </si>
  <si>
    <t>22-23/158</t>
  </si>
  <si>
    <t>BP/22-23/1121</t>
  </si>
  <si>
    <t>OP/00117/2022-23</t>
  </si>
  <si>
    <t>BP/22-23/1414</t>
  </si>
  <si>
    <t>BP/22-23/1405</t>
  </si>
  <si>
    <t>BP/22-23/1390</t>
  </si>
  <si>
    <t>AP/2022-23/00253</t>
  </si>
  <si>
    <t>SP/206</t>
  </si>
  <si>
    <t>Y/22-23/0485</t>
  </si>
  <si>
    <t>MPR/22-23/1375</t>
  </si>
  <si>
    <t>MPR/22-23/1363</t>
  </si>
  <si>
    <t>OP/00133/2022-23</t>
  </si>
  <si>
    <t>10/2022-23</t>
  </si>
  <si>
    <t>PS/22-23/0301</t>
  </si>
  <si>
    <t>BP/22-23/1137</t>
  </si>
  <si>
    <t>TPPL/22-23/3603</t>
  </si>
  <si>
    <t>ABSR/22-23/0271</t>
  </si>
  <si>
    <t>RK/22-23/0903</t>
  </si>
  <si>
    <t>2022-23/000125</t>
  </si>
  <si>
    <t>H00261</t>
  </si>
  <si>
    <t>E2223/011</t>
  </si>
  <si>
    <t>ASD/202223-004</t>
  </si>
  <si>
    <t>SPPL/22-23/D0137</t>
  </si>
  <si>
    <t>H00229</t>
  </si>
  <si>
    <t>ASD/202223-005</t>
  </si>
  <si>
    <t>DOM-036</t>
  </si>
  <si>
    <t>PL22230139</t>
  </si>
  <si>
    <t>YES/028/22-23</t>
  </si>
  <si>
    <t>SI/0029/22-23</t>
  </si>
  <si>
    <t>RPPL/0327/22-23</t>
  </si>
  <si>
    <t>RE-026/22-23</t>
  </si>
  <si>
    <t>CPD-288/21-22</t>
  </si>
  <si>
    <t>2022-2023/054</t>
  </si>
  <si>
    <t>2022-2023/022</t>
  </si>
  <si>
    <t>SIPL/22-23/60</t>
  </si>
  <si>
    <t>2022-2023/043</t>
  </si>
  <si>
    <t>DCS/22-23/0022</t>
  </si>
  <si>
    <t>RPPL/0036/22-23</t>
  </si>
  <si>
    <t>DCS/22-23/0210</t>
  </si>
  <si>
    <t>ALPL22230151</t>
  </si>
  <si>
    <t>22-23/000473</t>
  </si>
  <si>
    <t>ALPL22230133</t>
  </si>
  <si>
    <t>2022-2023/078</t>
  </si>
  <si>
    <t>SI-023/22-23</t>
  </si>
  <si>
    <t>2022-2023/071</t>
  </si>
  <si>
    <t>HRS/22-23/32909</t>
  </si>
  <si>
    <t>22-23/12</t>
  </si>
  <si>
    <t>22-23/000376</t>
  </si>
  <si>
    <t>INV/22-23/01243</t>
  </si>
  <si>
    <t>SKSB/0098</t>
  </si>
  <si>
    <t>17L2223</t>
  </si>
  <si>
    <t>22/TNAR/284986</t>
  </si>
  <si>
    <t>Op/00082/2022-23</t>
  </si>
  <si>
    <t>RK/22-23/0411</t>
  </si>
  <si>
    <t>OP/00069/2022-23</t>
  </si>
  <si>
    <t>22-23/078</t>
  </si>
  <si>
    <t>SP60</t>
  </si>
  <si>
    <t>OP/00051/2022-23</t>
  </si>
  <si>
    <t>OP/00044/2022-23</t>
  </si>
  <si>
    <t>RK/22-23/0472</t>
  </si>
  <si>
    <t>BP/22-23/0711</t>
  </si>
  <si>
    <t>BP/22-23/0727</t>
  </si>
  <si>
    <t>MT/00547/22-23</t>
  </si>
  <si>
    <t>FS/0047/2022-23</t>
  </si>
  <si>
    <t>GST-0176</t>
  </si>
  <si>
    <t>BP/22-23/0617</t>
  </si>
  <si>
    <t>PP/043</t>
  </si>
  <si>
    <t>ABSR/22-23/0075</t>
  </si>
  <si>
    <t>FS/0040/2022-23</t>
  </si>
  <si>
    <t>MPR/22-23/0637</t>
  </si>
  <si>
    <t>AVIS/0013/22-23</t>
  </si>
  <si>
    <t>RPHP/0447/22-23</t>
  </si>
  <si>
    <t>AP/2022-23/00108</t>
  </si>
  <si>
    <t>RRK/A000143</t>
  </si>
  <si>
    <t>PP/031</t>
  </si>
  <si>
    <t>BP/22-23/0462</t>
  </si>
  <si>
    <t>APPL/22-23/842</t>
  </si>
  <si>
    <t>BP/22-23/0414</t>
  </si>
  <si>
    <t>MP/22-23/28</t>
  </si>
  <si>
    <t>RK/22-23/0279</t>
  </si>
  <si>
    <t>BP/22-23/0383</t>
  </si>
  <si>
    <t>OP/00050/2022-23</t>
  </si>
  <si>
    <t>FS/0029/2022-23</t>
  </si>
  <si>
    <t>GKUK/0173/22-23</t>
  </si>
  <si>
    <t>ABSR/22-23/0049</t>
  </si>
  <si>
    <t>MP/22-23/24</t>
  </si>
  <si>
    <t>BP/22-23/0350</t>
  </si>
  <si>
    <t>MP/22-23/23</t>
  </si>
  <si>
    <t>BP/22-23/0601</t>
  </si>
  <si>
    <t>RK/22-23/0434</t>
  </si>
  <si>
    <t>BP/22-23/0642</t>
  </si>
  <si>
    <t>MPR/22-23/0595</t>
  </si>
  <si>
    <t>MPR/22-23/0493</t>
  </si>
  <si>
    <t>SPPL/22-23/D0614</t>
  </si>
  <si>
    <t>SPPL/22-23/D0805</t>
  </si>
  <si>
    <t>SAL/0145</t>
  </si>
  <si>
    <t>GI/0850</t>
  </si>
  <si>
    <t>H01060</t>
  </si>
  <si>
    <t>H01064</t>
  </si>
  <si>
    <t>H00894</t>
  </si>
  <si>
    <t>KR00909</t>
  </si>
  <si>
    <t>SPPL/22-23/D0586</t>
  </si>
  <si>
    <t>H00872</t>
  </si>
  <si>
    <t>GI/0669</t>
  </si>
  <si>
    <t>MUMB000736</t>
  </si>
  <si>
    <t>HC0201</t>
  </si>
  <si>
    <t>H01272</t>
  </si>
  <si>
    <t>GI/0863</t>
  </si>
  <si>
    <t>SPPL/22-23/D0599</t>
  </si>
  <si>
    <t>M/2022-23/000448</t>
  </si>
  <si>
    <t>GI/0668</t>
  </si>
  <si>
    <t>Row Labels</t>
  </si>
  <si>
    <t>(blank)</t>
  </si>
  <si>
    <t>Grand Total</t>
  </si>
  <si>
    <t>Sum of Tax 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</si>
</sst>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/>
    <xf numFmtId="49" fontId="1" fillId="0" borderId="1" xfId="0" applyNumberFormat="1" applyFont="1" applyBorder="1" applyAlignment="1"/>
    <xf numFmtId="0" fontId="1" fillId="0" borderId="1" xfId="0" applyNumberFormat="1" applyFont="1" applyBorder="1" applyAlignment="1"/>
    <xf numFmtId="0" fontId="0" fillId="0" borderId="0" xfId="0" applyAlignment="1"/>
    <xf numFmtId="2" fontId="1" fillId="0" borderId="1" xfId="0" applyNumberFormat="1" applyFont="1" applyBorder="1" applyAlignment="1"/>
    <xf numFmtId="14" fontId="1" fillId="0" borderId="1" xfId="0" applyNumberFormat="1" applyFont="1" applyBorder="1" applyAlignment="1"/>
    <xf numFmtId="43" fontId="0" fillId="0" borderId="0" xfId="1" applyFont="1" applyAlignme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4.837844907408" createdVersion="6" refreshedVersion="6" minRefreshableVersion="3" recordCount="1167" xr:uid="{0BF55B53-F127-48B4-9FA8-091147550085}">
  <cacheSource type="worksheet">
    <worksheetSource ref="A1:N1048576" sheet="merged_sheet_1"/>
  </cacheSource>
  <cacheFields count="14">
    <cacheField name="EWB No." numFmtId="0">
      <sharedItems containsBlank="1"/>
    </cacheField>
    <cacheField name="From GSTIN &amp; Name" numFmtId="0">
      <sharedItems containsBlank="1"/>
    </cacheField>
    <cacheField name="To GSTIN &amp; Name" numFmtId="0">
      <sharedItems containsBlank="1"/>
    </cacheField>
    <cacheField name="From Place &amp; Pin" numFmtId="0">
      <sharedItems containsBlank="1"/>
    </cacheField>
    <cacheField name="To Place &amp; Pin" numFmtId="0">
      <sharedItems containsBlank="1"/>
    </cacheField>
    <cacheField name="EWB No. &amp; Dt." numFmtId="0">
      <sharedItems containsBlank="1"/>
    </cacheField>
    <cacheField name="Doc" numFmtId="0">
      <sharedItems containsBlank="1" containsMixedTypes="1" containsNumber="1" containsInteger="1" minValue="2" maxValue="5000541318"/>
    </cacheField>
    <cacheField name="&amp;" numFmtId="0">
      <sharedItems containsNonDate="0" containsDate="1" containsString="0" containsBlank="1" minDate="2022-03-30T00:00:00" maxDate="2023-04-01T00:00:00"/>
    </cacheField>
    <cacheField name="Assess Val." numFmtId="0">
      <sharedItems containsString="0" containsBlank="1" containsNumber="1" minValue="2700" maxValue="245362488.57000005"/>
    </cacheField>
    <cacheField name="Tax Val." numFmtId="0">
      <sharedItems containsString="0" containsBlank="1" containsNumber="1" minValue="0" maxValue="1636806.26"/>
    </cacheField>
    <cacheField name="HSN Code" numFmtId="0">
      <sharedItems containsString="0" containsBlank="1" containsNumber="1" containsInteger="1" minValue="2926" maxValue="96020030" count="152">
        <n v="84439960"/>
        <n v="29420090"/>
        <n v="30049099"/>
        <n v="29054300"/>
        <n v="48192020"/>
        <n v="96020030"/>
        <n v="39219023"/>
        <n v="29372900"/>
        <n v="48192090"/>
        <n v="39239090"/>
        <n v="3921"/>
        <n v="84425010"/>
        <n v="39204900"/>
        <n v="48211020"/>
        <n v="76071994"/>
        <n v="17011490"/>
        <n v="11081200"/>
        <n v="39233090"/>
        <n v="48191010"/>
        <n v="29222933"/>
        <n v="76071995"/>
        <n v="4821"/>
        <n v="29242990"/>
        <n v="4819"/>
        <n v="34049020"/>
        <n v="39129090"/>
        <n v="39059990"/>
        <n v="29419060"/>
        <n v="29224990"/>
        <n v="29335990"/>
        <n v="29339990"/>
        <n v="29309070"/>
        <n v="29411030"/>
        <n v="29419090"/>
        <n v="29334900"/>
        <n v="29189990"/>
        <n v="293339"/>
        <n v="29211990"/>
        <n v="29339900"/>
        <n v="29332910"/>
        <n v="29332990"/>
        <n v="29225090"/>
        <n v="39123922"/>
        <n v="29181990"/>
        <n v="30024910"/>
        <n v="29362800"/>
        <n v="32050000"/>
        <n v="7607"/>
        <n v="35051010"/>
        <n v="39123919"/>
        <n v="29051220"/>
        <n v="28365000"/>
        <n v="3208"/>
        <n v="29182310"/>
        <n v="39123929"/>
        <n v="72163200"/>
        <n v="29411020"/>
        <n v="29333990"/>
        <n v="29362690"/>
        <n v="30042039"/>
        <n v="29362210"/>
        <n v="3923"/>
        <n v="38220090"/>
        <n v="4802"/>
        <n v="760719"/>
        <n v="29419019"/>
        <n v="8422"/>
        <n v="29321990"/>
        <n v="28112200"/>
        <n v="29372100"/>
        <n v="39140020"/>
        <n v="292421"/>
        <n v="8442"/>
        <n v="29362940"/>
        <n v="3917"/>
        <n v="29054400"/>
        <n v="29362700"/>
        <n v="3004"/>
        <n v="8303"/>
        <n v="39232100"/>
        <n v="83099010"/>
        <n v="76072090"/>
        <n v="29072200"/>
        <n v="29395900"/>
        <n v="84749000"/>
        <n v="29419020"/>
        <n v="29331990"/>
        <n v="29419030"/>
        <n v="29157090"/>
        <n v="29420012"/>
        <n v="29349990"/>
        <n v="39123100"/>
        <n v="63014000"/>
        <n v="292212"/>
        <n v="29053200"/>
        <n v="17021110"/>
        <n v="2926"/>
        <n v="33021010"/>
        <n v="39061090"/>
        <n v="3924"/>
        <n v="29252990"/>
        <n v="4811"/>
        <n v="481920"/>
        <n v="29319090"/>
        <n v="29415000"/>
        <n v="29349900"/>
        <n v="29393000"/>
        <n v="2933"/>
        <n v="29333919"/>
        <n v="29413010"/>
        <n v="29031200"/>
        <n v="72107000"/>
        <n v="29372200"/>
        <n v="7210"/>
        <n v="84229090"/>
        <n v="29420014"/>
        <n v="29379090"/>
        <n v="29242190"/>
        <n v="29420027"/>
        <n v="29095090"/>
        <n v="29411040"/>
        <n v="39139019"/>
        <n v="25262000"/>
        <n v="17049010"/>
        <n v="8544"/>
        <n v="29389090"/>
        <n v="29331999"/>
        <n v="8536"/>
        <n v="8207"/>
        <n v="7411"/>
        <n v="8415"/>
        <n v="49011020"/>
        <n v="293399"/>
        <n v="8539"/>
        <n v="29214990"/>
        <n v="84143000"/>
        <n v="76071999"/>
        <n v="29391900"/>
        <n v="29359090"/>
        <n v="29332920"/>
        <n v="28183000"/>
        <n v="3912"/>
        <n v="39100090"/>
        <n v="841989"/>
        <n v="84799040"/>
        <n v="30039021"/>
        <n v="8516"/>
        <n v="90279090"/>
        <n v="481910"/>
        <n v="34024200"/>
        <n v="84198940"/>
        <m/>
      </sharedItems>
    </cacheField>
    <cacheField name="HSN Desc." numFmtId="0">
      <sharedItems containsBlank="1"/>
    </cacheField>
    <cacheField name="Latest Vehicle No." numFmtId="0">
      <sharedItems containsBlank="1"/>
    </cacheField>
    <cacheField name="TAX RATE" numFmtId="0">
      <sharedItems containsString="0" containsBlank="1" containsNumber="1" minValue="0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7">
  <r>
    <s v="351569103816"/>
    <s v="06AADCD8661N1Z6 / D S Inks Pvt Ltd"/>
    <s v="05AAECM6380J1ZA / M R Healthcare Pvt Ltd"/>
    <s v="Panchkula / 134109"/>
    <s v="Ramnagar / 244715"/>
    <s v="351569103816 - 04/03/2023 11:43:00"/>
    <s v="DS/22-23/03188"/>
    <d v="2023-03-04T00:00:00"/>
    <n v="70000"/>
    <n v="12600"/>
    <x v="0"/>
    <m/>
    <s v="HR68C1476"/>
    <n v="18"/>
  </r>
  <r>
    <s v="321569094863"/>
    <s v="06AADCD8661N1Z6 / D.S. INKS PRIVATE LIMITED"/>
    <s v="05AAECM6380J1ZA / M/S M R HealthCare Pvt. Ltd."/>
    <s v="Panchkula / 134116"/>
    <s v="Ramnagar / 244715"/>
    <s v="321569094863 - 04/03/2023 11:30:00"/>
    <s v="DS/22-23/02787"/>
    <d v="2023-01-20T00:00:00"/>
    <n v="70000"/>
    <n v="12600"/>
    <x v="0"/>
    <m/>
    <s v="HR68C1476"/>
    <n v="18"/>
  </r>
  <r>
    <s v="371568636096"/>
    <s v="05AABCA8568R1ZZ / ABS Mercantiles Pvt. Ltd."/>
    <s v="05AAECM6380J1ZA / M.R. HEALTHCARE PVT. LTD."/>
    <s v="UTTARAKHAND / 247667"/>
    <s v="Ram Nagar / 244715"/>
    <s v="371568636096 - 04/03/2023 00:13:00"/>
    <s v="ABSR/22-23/0747"/>
    <d v="2023-03-03T00:00:00"/>
    <n v="252247.5"/>
    <n v="45404"/>
    <x v="1"/>
    <s v="Itraconazole Pellets 22% BP"/>
    <s v="UK18TA0659"/>
    <n v="17.999781960177998"/>
  </r>
  <r>
    <s v="341580565708"/>
    <s v="05AABCA8568R1ZZ / ABS Mercantiles Pvt. Ltd."/>
    <s v="05AAECM6380J1ZA / M.R. HEALTHCARE PVT. LTD."/>
    <s v="UTTARAKHAND / 247667"/>
    <s v="Ram Nagar / 244715"/>
    <s v="341580565708 - 30/03/2023 22:12:00"/>
    <s v="ABSR/22-23/0802"/>
    <d v="2023-03-30T00:00:00"/>
    <n v="191248.75"/>
    <n v="34424"/>
    <x v="1"/>
    <s v="Pantoprazole EC 40 mg + Domperidone SR 30 mg Pellets IP"/>
    <s v="UK18CA3698"/>
    <n v="17.999594768593258"/>
  </r>
  <r>
    <s v="301577036596"/>
    <s v="05AASCA1024D1Z6 / AJANTA BOTTLE PRIVATE LIMITED"/>
    <s v="05AAECM6380J1ZA / M/S M R HealthCare Pvt. Ltd."/>
    <s v="Roorkee / 247667"/>
    <s v="Ramnagar / 244715"/>
    <s v="301577036596 - 23/03/2023 22:58:00"/>
    <s v="22R888"/>
    <d v="2023-03-23T00:00:00"/>
    <n v="27600"/>
    <n v="3312"/>
    <x v="2"/>
    <s v="30 ML STERILE WATER FOR INJ (AFFY)"/>
    <s v="UK18CA3698"/>
    <n v="12"/>
  </r>
  <r>
    <s v="311577137339"/>
    <s v="05AALFN9057F1Z1 / NAVKAAR ENTERPRISES"/>
    <s v="05AAECM6380J1ZA / M.R. HEALTHCARE PVT. LTD."/>
    <s v="UTTARAKHAND / 249402"/>
    <s v="244715 / 244715"/>
    <s v="311577137339 - 23/03/2023 20:24:00"/>
    <s v="F-00542"/>
    <d v="2023-03-23T00:00:00"/>
    <n v="47500"/>
    <n v="8550"/>
    <x v="3"/>
    <s v="C*PHARMMANNIDEX 16700 MANNITOL POWDER"/>
    <s v="UK18CA3698"/>
    <n v="18"/>
  </r>
  <r>
    <s v="371576729081"/>
    <s v="05ACPFS1430H1Z7 / M/S SWASTIK ART CREATIONS"/>
    <s v="05AAECM6380J1ZA / M/S M R HealthCare Pvt. Ltd."/>
    <s v="Haridwar / 247667"/>
    <s v="Ramnagar / 244715"/>
    <s v="371576729081 - 23/03/2023 00:55:00"/>
    <s v="S/1581/22-23"/>
    <d v="2023-03-22T00:00:00"/>
    <n v="63179"/>
    <n v="11372.22"/>
    <x v="4"/>
    <s v="CARTONS"/>
    <s v="UA04A7926"/>
    <n v="18"/>
  </r>
  <r>
    <s v="301575670594"/>
    <s v="05ANTPS9188H1Z0 / G K PHARMA"/>
    <s v="05AAECM6380J1ZA / MR HEALTHCARE PVT LTD"/>
    <s v="Roorkee / 247667"/>
    <s v="Ramnagar / 244715"/>
    <s v="301575670594 - 20/03/2023 23:54:00"/>
    <s v="GKUK/1899/22-23"/>
    <d v="2023-03-20T00:00:00"/>
    <n v="74400"/>
    <n v="13392"/>
    <x v="5"/>
    <m/>
    <s v="UK17CA4306"/>
    <n v="18"/>
  </r>
  <r>
    <s v="301573998782"/>
    <s v="05ADVFS5795G1Z9 / Shri Krishna Polymer"/>
    <s v="05AAECM6380J1ZA / M,R HEALTHCARE PVT LTD"/>
    <s v="Roorkee / 247667"/>
    <s v="Ramnagar / 244715"/>
    <s v="301573998782 - 16/03/2023 18:01:00"/>
    <n v="1402"/>
    <d v="2023-03-16T00:00:00"/>
    <n v="59396.1"/>
    <n v="10691.3"/>
    <x v="6"/>
    <s v="METTALISED PVC SILVER"/>
    <s v="UK18CA3698"/>
    <n v="18.000003367224448"/>
  </r>
  <r>
    <s v="371573378167"/>
    <s v="06AAACM6962E1ZJ / MAHIMA LIFE SCIENCES PRIVATE LIMITED"/>
    <s v="05AAECM6380J1ZA / M.R.Healthcare - Nainital"/>
    <s v="Sonipat / 131101"/>
    <s v="Nainital / 244715"/>
    <s v="371573378167 - 15/03/2023 16:00:00"/>
    <s v="2022-23/3336"/>
    <d v="2023-03-15T00:00:00"/>
    <n v="174275"/>
    <n v="31369.5"/>
    <x v="7"/>
    <s v="DEFLAZACORT"/>
    <s v="UP14JT7811"/>
    <n v="18"/>
  </r>
  <r>
    <s v="321572434704"/>
    <s v="05AAJFB5728K1ZA / M/S BLIZE PRINTERS"/>
    <s v="05AAECM6380J1ZA / M/S M R HealthCare Pvt. Ltd."/>
    <s v="Haridwar / 247667"/>
    <s v="Ramnagar / 244715"/>
    <s v="321572434704 - 14/03/2023 00:30:00"/>
    <s v="BP/22-23/3885"/>
    <d v="2023-03-13T00:00:00"/>
    <n v="25751.55"/>
    <n v="4635.28"/>
    <x v="8"/>
    <s v="KRIGORAY GEL 20G"/>
    <s v="UK17CA4306"/>
    <n v="18.000003883261396"/>
  </r>
  <r>
    <s v="351572456963"/>
    <s v="05AABFO5340E1ZQ / OM SAI PHARMA PACK"/>
    <s v="05AAECM6380J1ZA / M.R. HEALTHCARE PVT. LTD."/>
    <s v="Uttarakhand / 249403"/>
    <s v="Nainital / 244715"/>
    <s v="351572456963 - 13/03/2023 20:08:00"/>
    <n v="12301"/>
    <d v="2023-03-13T00:00:00"/>
    <n v="52016"/>
    <n v="9362.8799999999992"/>
    <x v="9"/>
    <s v="LAMITUBE LUZILOL 20GM"/>
    <s v="UK17CA4306"/>
    <n v="17.999999999999996"/>
  </r>
  <r>
    <s v="301571460069"/>
    <s v="06AYEPS2518M1Z4 / FORTUNE SOURCING"/>
    <s v="05AAECM6380J1ZA / M/S M R HealthCare Pvt. Ltd."/>
    <s v="GURGAON / 122001"/>
    <s v="Ramnagar / 244715"/>
    <s v="301571460069 - 11/03/2023 09:27:00"/>
    <s v="FS/0342/2022-23"/>
    <d v="2023-03-02T00:00:00"/>
    <n v="12325"/>
    <n v="2218.5"/>
    <x v="10"/>
    <s v="LAMI TUBE LAMI TUBE"/>
    <m/>
    <n v="18"/>
  </r>
  <r>
    <s v="371570845143"/>
    <s v="05ABSFA7387F1Z0 / AASTHA MEDI SOLUTIONS"/>
    <s v="05AAECM6380J1ZA / M/S M R HealthCare Pvt. Ltd."/>
    <s v="Haridwar / 247667"/>
    <s v="Ramnagar / 244715"/>
    <s v="371570845143 - 09/03/2023 17:40:00"/>
    <n v="1376"/>
    <d v="2023-03-09T00:00:00"/>
    <n v="13500"/>
    <n v="2430"/>
    <x v="11"/>
    <s v="PRINTED ROLLER"/>
    <s v="UK17CA4322"/>
    <n v="18"/>
  </r>
  <r>
    <s v="311570082771"/>
    <s v="05AAJFB5728K1ZA / Blize Printers (2022-23)"/>
    <s v="05AAECM6380J1ZA / M.R. HEALTHCARE PVT. LTD."/>
    <s v="BHAGWANPUR / 247661"/>
    <s v="Ramnagar / 244715"/>
    <s v="311570082771 - 07/03/2023 00:35:00"/>
    <s v="BP/22-23/3837"/>
    <d v="2023-03-06T00:00:00"/>
    <n v="68446.100000000006"/>
    <n v="12320.32"/>
    <x v="8"/>
    <s v="Carton"/>
    <s v="UK18CA4767"/>
    <n v="18.000032142079679"/>
  </r>
  <r>
    <s v="301568709029"/>
    <s v="05ANTPS9188H1Z0 / G K PHARMA"/>
    <s v="05AAECM6380J1ZA / MR HEALTHCARE PVT LTD"/>
    <s v="Roorkee / 247667"/>
    <s v="Ramnagar / 244715"/>
    <s v="301568709029 - 04/03/2023 00:13:00"/>
    <s v="GKUK/1811/22-23"/>
    <d v="2023-03-03T00:00:00"/>
    <n v="190900"/>
    <n v="34362"/>
    <x v="1"/>
    <m/>
    <s v="UK18TA0659"/>
    <n v="18"/>
  </r>
  <r>
    <s v="301568374319"/>
    <s v="05ADVFS5795G1Z9 / Shri Krishna Polymer"/>
    <s v="05AAECM6380J1ZA / M,R HEALTHCARE PVT LTD"/>
    <s v="Roorkee / 247667"/>
    <s v="Ramnagar / 244715"/>
    <s v="301568374319 - 02/03/2023 18:02:00"/>
    <n v="1347"/>
    <d v="2023-03-02T00:00:00"/>
    <n v="46689.599999999999"/>
    <n v="8404.1200000000008"/>
    <x v="12"/>
    <s v="0.25X208MM AMBER PVC FILM"/>
    <s v="UK17CA4642"/>
    <n v="17.999982865563211"/>
  </r>
  <r>
    <s v="381581091527"/>
    <s v="05AAJFB5728K1ZA / Blize Printers (2022-23)"/>
    <s v="05AAECM6380J1ZA / M.R. HEALTHCARE PVT. LTD."/>
    <s v="BHAGWANPUR / 247661"/>
    <s v="Ramnagar / 244715"/>
    <s v="381581091527 - 31/03/2023 23:34:00"/>
    <s v="BP/22-23/4115"/>
    <d v="2023-03-31T00:00:00"/>
    <n v="186045.55"/>
    <n v="33488.199999999997"/>
    <x v="8"/>
    <s v="Carton"/>
    <s v="UK17CA4303"/>
    <n v="18.000000537502778"/>
  </r>
  <r>
    <s v="361581092087"/>
    <s v="05AAJFB5728K1ZA / Blize Printers (2022-23)"/>
    <s v="05AAECM6380J1ZA / M.R. HEALTHCARE PVT. LTD."/>
    <s v="BHAGWANPUR / 247661"/>
    <s v="Ramnagar / 244715"/>
    <s v="361581092087 - 31/03/2023 23:34:00"/>
    <s v="BP/22-23/4105"/>
    <d v="2023-03-30T00:00:00"/>
    <n v="29420.5"/>
    <n v="5295.7"/>
    <x v="8"/>
    <s v="Carton"/>
    <s v="UK17CA4303"/>
    <n v="18.000033989904999"/>
  </r>
  <r>
    <s v="301580071315"/>
    <s v="05ACYFS8084Q1ZR / S.S. PRINT PACK"/>
    <s v="05AAECM6380J1ZA / M/S M R HealthCare Pvt. Ltd."/>
    <s v="Dehradun / 248011"/>
    <s v="Ramnagar / 244715"/>
    <s v="301580071315 - 29/03/2023 18:56:00"/>
    <n v="1651"/>
    <d v="2023-03-29T00:00:00"/>
    <n v="10000"/>
    <n v="1800"/>
    <x v="13"/>
    <m/>
    <s v="UK16CA0906"/>
    <n v="18"/>
  </r>
  <r>
    <s v="391578766363"/>
    <s v="05AAACY8180G1Z7 / YURVIE PACKAGING PRIVATE LIMITED"/>
    <s v="05AAECM6380J1ZA / M/S M R HealthCare Pvt. Ltd."/>
    <s v="BHAGWANPUR / 247661"/>
    <s v="Ramnagar / 244715"/>
    <s v="391578766363 - 28/03/2023 22:22:00"/>
    <s v="Y/22-23/1735"/>
    <d v="2023-03-27T00:00:00"/>
    <n v="46910.3"/>
    <n v="8443.86"/>
    <x v="9"/>
    <s v="LAMI TUBE"/>
    <s v="UK18CA3698"/>
    <n v="18.000012790368"/>
  </r>
  <r>
    <s v="361578975423"/>
    <s v="05ACPFS1430H1Z7 / M/S SWASTIK ART CREATIONS"/>
    <s v="05AAECM6380J1ZA / M/S M R HealthCare Pvt. Ltd."/>
    <s v="Haridwar / 247667"/>
    <s v="Ramnagar / 244715"/>
    <s v="361578975423 - 28/03/2023 22:22:00"/>
    <s v="S/1608/22-23"/>
    <d v="2023-03-27T00:00:00"/>
    <n v="71410"/>
    <n v="12853.8"/>
    <x v="4"/>
    <s v="CARTONS"/>
    <s v="UK18CA3698"/>
    <n v="18"/>
  </r>
  <r>
    <s v="341579495461"/>
    <s v="05AAJFB5728K1ZA / Blize Printers (2022-23)"/>
    <s v="05AAECM6380J1ZA / M.R. HEALTHCARE PVT. LTD."/>
    <s v="BHAGWANPUR / 247661"/>
    <s v="Ramnagar / 244715"/>
    <s v="341579495461 - 28/03/2023 22:22:00"/>
    <s v="BP/22-23/4076"/>
    <d v="2023-03-28T00:00:00"/>
    <n v="31777.25"/>
    <n v="5719.9"/>
    <x v="8"/>
    <s v="Carton"/>
    <s v="UK18CA3698"/>
    <n v="17.999984265472939"/>
  </r>
  <r>
    <s v="301579392975"/>
    <s v="05BTNPD9977N2ZP / MUDRA PRESS"/>
    <s v="05AAECM6380J1ZA / M/S M R HealthCare Pvt. Ltd."/>
    <s v="Dehradun / 248001"/>
    <s v="Ramnagar / 244715"/>
    <s v="301579392975 - 28/03/2023 19:11:00"/>
    <s v="MP/22-23/365"/>
    <d v="2023-03-28T00:00:00"/>
    <n v="92640"/>
    <n v="16675.2"/>
    <x v="4"/>
    <m/>
    <s v="UK18CA3698"/>
    <n v="18"/>
  </r>
  <r>
    <s v="361578962876"/>
    <s v="05ABSFA7387F1Z0 / AASTHA MEDI SOLUTIONS"/>
    <s v="05AAECM6380J1ZA / M/S M R HealthCare Pvt. Ltd."/>
    <s v="Haridwar / 247667"/>
    <s v="Ramnagar / 244715"/>
    <s v="361578962876 - 27/03/2023 18:07:00"/>
    <n v="1461"/>
    <d v="2023-03-27T00:00:00"/>
    <n v="3700"/>
    <n v="666"/>
    <x v="11"/>
    <s v="PRINTED ROLLER"/>
    <s v="UK18CA3698"/>
    <n v="18"/>
  </r>
  <r>
    <s v="341578959872"/>
    <s v="05ABSFA7387F1Z0 / AASTHA MEDI SOLUTIONS"/>
    <s v="05AAECM6380J1ZA / M/S M R HealthCare Pvt. Ltd."/>
    <s v="Haridwar / 247667"/>
    <s v="Ramnagar / 244715"/>
    <s v="341578959872 - 27/03/2023 18:04:00"/>
    <n v="1460"/>
    <d v="2023-03-27T00:00:00"/>
    <n v="47563.3"/>
    <n v="8561.4"/>
    <x v="14"/>
    <s v="PRINTED ALUMINIUM FOIL"/>
    <s v="UK18CA3698"/>
    <n v="18.000012614768107"/>
  </r>
  <r>
    <s v="301578492429"/>
    <s v="05ABAPK2139D1ZB / MOHIT TRADERS(22-23)"/>
    <s v="05AAECM6380J1ZA / M R Healthcare Pvt Ltd"/>
    <s v="Jawalapur / 249407"/>
    <s v="KASHIPUR / 244715"/>
    <s v="301578492429 - 26/03/2023 15:40:00"/>
    <s v="MT/03158/22-23"/>
    <d v="2023-03-26T00:00:00"/>
    <n v="156000"/>
    <n v="7800"/>
    <x v="15"/>
    <s v="Sugar"/>
    <s v="UP37T7475"/>
    <n v="5"/>
  </r>
  <r>
    <s v="311577775410"/>
    <s v="05AAJFB5728K1ZA / Blize Printers (2022-23)"/>
    <s v="05AAECM6380J1ZA / M.R. HEALTHCARE PVT. LTD."/>
    <s v="BHAGWANPUR / 247661"/>
    <s v="Ramnagar / 244715"/>
    <s v="311577775410 - 24/03/2023 23:10:00"/>
    <s v="BP/22-23/4020"/>
    <d v="2023-03-24T00:00:00"/>
    <n v="262462"/>
    <n v="47243.16"/>
    <x v="8"/>
    <s v="Carton"/>
    <s v="UK17CA4306"/>
    <n v="18"/>
  </r>
  <r>
    <s v="341577291720"/>
    <s v="05AAJFB5728K1ZA / Blize Printers (2022-23)"/>
    <s v="05AAECM6380J1ZA / M.R. HEALTHCARE PVT. LTD."/>
    <s v="BHAGWANPUR / 247661"/>
    <s v="Ramnagar / 244715"/>
    <s v="341577291720 - 23/03/2023 22:58:00"/>
    <s v="BP/22-23/4013"/>
    <d v="2023-03-23T00:00:00"/>
    <n v="88037.6"/>
    <n v="15846.78"/>
    <x v="8"/>
    <s v="Carton"/>
    <s v="UK18CA3698"/>
    <n v="18.000013630539677"/>
  </r>
  <r>
    <s v="381577290279"/>
    <s v="05ABIPT0216G1ZY / M/S Gautam Minirals Chemicals"/>
    <s v="05AAECM6380J1ZA / M/S M R HealthCare Pvt. Ltd."/>
    <s v="Pantnagar / 263153"/>
    <s v="Ramnagar / 244715"/>
    <s v="381577290279 - 23/03/2023 19:34:00"/>
    <s v="22-23/483"/>
    <d v="2023-03-23T00:00:00"/>
    <n v="119850"/>
    <n v="14382"/>
    <x v="16"/>
    <m/>
    <s v="UP22T6779"/>
    <n v="12"/>
  </r>
  <r>
    <s v="331577161967"/>
    <s v="05AAGFH2542C1ZY / HIMALAYAN CAPSCON INDUSTRIES"/>
    <s v="05AAECM6380J1ZA / M R Healthcare Pvt Ltd"/>
    <s v="Selaqui / 248011"/>
    <s v="Ramnagar / 244715"/>
    <s v="331577161967 - 23/03/2023 16:51:00"/>
    <s v="HCI/22-23/0585"/>
    <d v="2023-03-23T00:00:00"/>
    <n v="29000"/>
    <n v="5220"/>
    <x v="17"/>
    <s v="HDPE 30ml DSB 8.25Gm (25MM)"/>
    <s v="UK18CA3698"/>
    <n v="18"/>
  </r>
  <r>
    <s v="361576990093"/>
    <s v="05AAQCS5989R1ZZ / M/S SATYAM SHIVAM PACKAGING PRIVATE LIMITED"/>
    <s v="05AAECM6380J1ZA / M/S M R HealthCare Pvt. Ltd."/>
    <s v="Udham Singh Nagar / 263153"/>
    <s v="Ramnagar / 244715"/>
    <s v="361576990093 - 23/03/2023 12:47:00"/>
    <s v="SSP/22-23/1869"/>
    <d v="2023-03-23T00:00:00"/>
    <n v="87021"/>
    <n v="15663.78"/>
    <x v="18"/>
    <s v="475X410X560(5 PLY C BOX)"/>
    <s v="UK06CB0108"/>
    <n v="18"/>
  </r>
  <r>
    <s v="301576445454"/>
    <s v="05ABNPA6018N2ZK / Manish Pharma"/>
    <s v="05AAECM6380J1ZA / MR HEALTHCARE PVT LTD"/>
    <s v="Roorkee / 247667"/>
    <s v="KOSI ROAD,RAMNAGAR / 244715"/>
    <s v="301576445454 - 23/03/2023 00:55:00"/>
    <s v="MPR/22-23/5341"/>
    <d v="2023-03-22T00:00:00"/>
    <n v="660330"/>
    <n v="118859.4"/>
    <x v="19"/>
    <s v="PARACETAMOL IP (MAKE:-FARMSON)"/>
    <s v="UA04A7926"/>
    <n v="18"/>
  </r>
  <r>
    <s v="381576598497"/>
    <s v="05AAFCH1159K1ZL / HARIDWAR FOILS PRIVATE LIMITED"/>
    <s v="05AAECM6380J1ZA / M/S M R HealthCare Pvt. Ltd."/>
    <s v="Haridwar / 249402"/>
    <s v="Ramnagar / 244715"/>
    <s v="381576598497 - 22/03/2023 20:11:00"/>
    <n v="768"/>
    <d v="2023-03-22T00:00:00"/>
    <n v="119263.9"/>
    <n v="21467.5"/>
    <x v="20"/>
    <s v="BLISTER"/>
    <s v="UA04A7926"/>
    <n v="17.999998323046622"/>
  </r>
  <r>
    <s v="371575378897"/>
    <s v="05CZDPK6274J1Z4 / Essential Graphics Industries"/>
    <s v="05AAECM6380J1ZA / M R Healthcare Pvt Ltd"/>
    <s v="ROORKEE / 247668"/>
    <s v="Ramnagar / 244715"/>
    <s v="371575378897 - 21/03/2023 23:10:00"/>
    <s v="EGI/0268/22-23"/>
    <d v="2023-03-20T00:00:00"/>
    <n v="34770"/>
    <n v="6258.6"/>
    <x v="21"/>
    <s v="Label"/>
    <s v="UK18CA3698"/>
    <n v="18"/>
  </r>
  <r>
    <s v="381576194745"/>
    <s v="05ABSFA7387F1Z0 / AASTHA MEDI SOLUTIONS"/>
    <s v="05AAECM6380J1ZA / M/S M R HealthCare Pvt. Ltd."/>
    <s v="Haridwar / 247667"/>
    <s v="Ramnagar / 244715"/>
    <s v="381576194745 - 21/03/2023 18:24:00"/>
    <n v="1430"/>
    <d v="2023-03-21T00:00:00"/>
    <n v="39707.199999999997"/>
    <n v="7147.3"/>
    <x v="14"/>
    <s v="PRINTED ALUMINIUM FOIL"/>
    <s v="UK18CA3698"/>
    <n v="18.000010073739777"/>
  </r>
  <r>
    <s v="381575627507"/>
    <s v="05AASFR5565R1Z4 / M/S ROORKEE FOIL"/>
    <s v="05AAECM6380J1ZA / M/S M R HealthCare Pvt. Ltd."/>
    <s v="Haridwar / 247667"/>
    <s v="Ramnagar / 244715"/>
    <s v="381575627507 - 20/03/2023 23:54:00"/>
    <s v="RK/22-23/2655"/>
    <d v="2023-03-20T00:00:00"/>
    <n v="76117.5"/>
    <n v="13701.14"/>
    <x v="20"/>
    <s v="BLISTER FOIL PRINTED"/>
    <s v="UK17CA4306"/>
    <n v="17.999986862416659"/>
  </r>
  <r>
    <s v="361575452271"/>
    <s v="05ALGPC9789H1ZQ / OM PHARMACEUTICALS"/>
    <s v="05AAECM6380J1ZA / M/S M R HealthCare Pvt. Ltd."/>
    <s v="Haridwar / 249402"/>
    <s v="Ramnagar / 244715"/>
    <s v="361575452271 - 20/03/2023 20:12:00"/>
    <s v="OP/00416/2022-23"/>
    <d v="2023-03-20T00:00:00"/>
    <n v="80850"/>
    <n v="14553"/>
    <x v="22"/>
    <s v="ASPARTAME POWDER"/>
    <s v="UK17CA4306"/>
    <n v="18"/>
  </r>
  <r>
    <s v="331575665771"/>
    <s v="05AAUCS2953B1ZA / VIVA PACK PVT. LTD."/>
    <s v="05AAECM6380J1ZA / M.R HEALTHCARE PVT LTD."/>
    <s v="Roorkee / 247667"/>
    <s v="UTTARAKHAND / 244715"/>
    <s v="331575665771 - 20/03/2023 18:00:00"/>
    <s v="GST-2223-2317"/>
    <d v="2023-03-20T00:00:00"/>
    <n v="54432"/>
    <n v="9797.76"/>
    <x v="17"/>
    <s v="PET BOTTLES 100ML12.5GM RD AMB 720"/>
    <s v="UK17CA4306"/>
    <n v="18"/>
  </r>
  <r>
    <s v="391574833405"/>
    <s v="05ABAFR8373C1ZB / RADIANT PRINTO PACK"/>
    <s v="05AAECM6380J1ZA / M/S M R HealthCare Pvt. Ltd."/>
    <s v="Haridwar / 247666"/>
    <s v="Ramnagar / 244715"/>
    <s v="391574833405 - 19/03/2023 17:27:00"/>
    <s v="RPP/0800/22-23"/>
    <d v="2023-03-18T00:00:00"/>
    <n v="45042.9"/>
    <n v="8107.72"/>
    <x v="23"/>
    <m/>
    <s v="UK17CA4358"/>
    <n v="17.999995559788555"/>
  </r>
  <r>
    <s v="351573896986"/>
    <s v="05AAKFV1624K1Z2 / M/S VYALI INTERNATIONAL"/>
    <s v="05AAECM6380J1ZA / M/S M R HealthCare Pvt. Ltd."/>
    <s v="Roorkee / 247667"/>
    <s v="Ramnagar / 244715"/>
    <s v="351573896986 - 16/03/2023 22:36:00"/>
    <s v="RRK/A001351"/>
    <d v="2023-03-16T00:00:00"/>
    <n v="51775"/>
    <n v="9319.5"/>
    <x v="7"/>
    <s v="H L MEDICINE"/>
    <s v="HR38AB4032"/>
    <n v="18"/>
  </r>
  <r>
    <s v="361573784121"/>
    <s v="06AABCF5740N1ZG / Alutech Packaging Private Limited"/>
    <s v="05AAECM6380J1ZA / M R Healthcare Pvt Ltd"/>
    <s v="Bahadurgarh / 124507"/>
    <s v="NANITAL / 244715"/>
    <s v="361573784121 - 16/03/2023 13:11:00"/>
    <s v="APPL/22-23/7708"/>
    <d v="2023-03-16T00:00:00"/>
    <n v="836074.2"/>
    <n v="150493.35999999999"/>
    <x v="14"/>
    <s v="Aluminium Foil"/>
    <m/>
    <n v="18.000000478426436"/>
  </r>
  <r>
    <s v="391573274548"/>
    <s v="05AAKFV1624K1Z2 / VYALI INTERNATIONAL"/>
    <s v="05AAECM6380J1ZA / M.R HEALTHCARE PVT LTD KASHIPUR"/>
    <s v="Roorkee / 247667"/>
    <s v="Ramnagar / 244715"/>
    <s v="391573274548 - 16/03/2023 00:08:00"/>
    <s v="RRK/A001337"/>
    <d v="2023-03-15T00:00:00"/>
    <n v="252000"/>
    <n v="45360"/>
    <x v="1"/>
    <s v="29420090"/>
    <s v="UK18CA3698"/>
    <n v="18"/>
  </r>
  <r>
    <s v="301573250611"/>
    <s v="05AAACK3774G1ZN / KESHAV HICHEM PRIVATE LIMITED-HARIDWAR"/>
    <s v="05AAECM6380J1ZA / MR HEALTHCARE PVT LTD"/>
    <s v="HARIDWAR / 249408"/>
    <s v="RAMNAGARKASHIPUR / 244715"/>
    <s v="301573250611 - 15/03/2023 12:43:00"/>
    <s v="GST/HRD-388"/>
    <d v="2023-03-15T00:00:00"/>
    <n v="4050"/>
    <n v="729"/>
    <x v="24"/>
    <s v="POLY MEG-6000"/>
    <s v="UK17CA4306"/>
    <n v="18"/>
  </r>
  <r>
    <s v="361573206414"/>
    <s v="05AAACK3774G1ZN / KESHAV HICHEM PRIVATE LIMITED-HARIDWAR"/>
    <s v="05AAECM6380J1ZA / MR HEALTHCARE PVT LTD"/>
    <s v="HARIDWAR / 249408"/>
    <s v="RAMNAGARKASHIPUR / 244715"/>
    <s v="361573206414 - 15/03/2023 11:38:00"/>
    <s v="GST/HRD/DL-1485"/>
    <d v="2023-03-15T00:00:00"/>
    <n v="146300"/>
    <n v="26334"/>
    <x v="25"/>
    <m/>
    <s v="UK18CA3698"/>
    <n v="18"/>
  </r>
  <r>
    <s v="361573019193"/>
    <s v="05AAJFB5728K1ZA / Blize Printers (2022-23)"/>
    <s v="05AAECM6380J1ZA / M.R. HEALTHCARE PVT. LTD."/>
    <s v="BHAGWANPUR / 247661"/>
    <s v="Ramnagar / 244715"/>
    <s v="361573019193 - 15/03/2023 00:41:00"/>
    <s v="BP/22-23/3907"/>
    <d v="2023-03-14T00:00:00"/>
    <n v="55441.5"/>
    <n v="9979.48"/>
    <x v="8"/>
    <s v="Carton"/>
    <s v="UK18CA3698"/>
    <n v="18.000018037030024"/>
  </r>
  <r>
    <s v="361572429223"/>
    <s v="05FYDPS0716P2ZZ / Pharma Pack"/>
    <s v="05AAECM6380J1ZA / M.R. Healthcare Pvt Ltd"/>
    <s v="Roorkee / 247661"/>
    <s v="KASHIPUR / 244715"/>
    <s v="361572429223 - 14/03/2023 00:30:00"/>
    <s v="PP/484"/>
    <d v="2023-03-13T00:00:00"/>
    <n v="72167.100000000006"/>
    <n v="12990.1"/>
    <x v="14"/>
    <s v="ALUMINIUM PLAIN FOIL"/>
    <s v="UK17CA4306"/>
    <n v="18.0000304848054"/>
  </r>
  <r>
    <s v="331572207732"/>
    <s v="05ALGPC9789H1ZQ / OM PHARMACEUTICALS"/>
    <s v="05AAECM6380J1ZA / M/S M R HealthCare Pvt. Ltd."/>
    <s v="Haridwar / 249402"/>
    <s v="Ramnagar / 244715"/>
    <s v="331572207732 - 13/03/2023 20:08:00"/>
    <s v="OP/00408/2022-23"/>
    <d v="2023-03-13T00:00:00"/>
    <n v="207500"/>
    <n v="37350"/>
    <x v="26"/>
    <s v="CROSSPOVIDONE XL10"/>
    <s v="UK17CA4306"/>
    <n v="18"/>
  </r>
  <r>
    <s v="391572402182"/>
    <s v="03AACCI1225J1Z2 / INFINITY LABORATORIES PVT LTD"/>
    <s v="05AAECM6380J1ZA / M R Healthcare Pvt Ltd"/>
    <s v="DERA BASSI / 140507"/>
    <s v="Ramnagar / 244715"/>
    <s v="391572402182 - 13/03/2023 17:03:00"/>
    <s v="ILPL-873"/>
    <d v="2023-03-13T00:00:00"/>
    <n v="7195500"/>
    <n v="1295190"/>
    <x v="27"/>
    <s v="NORFLOXACIN IP"/>
    <s v="PB65AZ5793"/>
    <n v="18"/>
  </r>
  <r>
    <s v="361571060755"/>
    <s v="05ANTPS9188H1Z0 / G K PHARMA"/>
    <s v="05AAECM6380J1ZA / MR HEALTHCARE PVT LTD"/>
    <s v="Roorkee / 247667"/>
    <s v="Ramnagar / 244715"/>
    <s v="361571060755 - 10/03/2023 23:35:00"/>
    <s v="GKUK/1844/22-23"/>
    <d v="2023-03-10T00:00:00"/>
    <n v="148400"/>
    <n v="26712"/>
    <x v="5"/>
    <m/>
    <s v="UK18CA3698"/>
    <n v="18"/>
  </r>
  <r>
    <s v="331571232243"/>
    <s v="06AYEPS2518M1Z4 / FORTUNE SOURCING"/>
    <s v="05AAECM6380J1ZA / M/S M R HealthCare Pvt. Ltd."/>
    <s v="Gurugram / 122001"/>
    <s v="Ramnagar / 244715"/>
    <s v="331571232243 - 10/03/2023 22:31:00"/>
    <s v="FS/0349/2022-23"/>
    <d v="2023-03-10T00:00:00"/>
    <n v="12050"/>
    <n v="2169"/>
    <x v="10"/>
    <s v="LAMI TUBE"/>
    <m/>
    <n v="18"/>
  </r>
  <r>
    <s v="331570802542"/>
    <s v="05ABNPA6018N2ZK / Manish Pharma"/>
    <s v="05AAECM6380J1ZA / MR HEALTHCARE PVT LTD"/>
    <s v="Roorkee / 247667"/>
    <s v="KOSI ROAD,RAMNAGAR / 244715"/>
    <s v="331570802542 - 09/03/2023 21:52:00"/>
    <s v="MPR/22-23/5131"/>
    <d v="2023-03-09T00:00:00"/>
    <n v="1365682.5"/>
    <n v="245822.86"/>
    <x v="19"/>
    <s v="PARACETAMOL IP (MEGHMANI)"/>
    <s v="UK17CA4322"/>
    <n v="18.000000732234614"/>
  </r>
  <r>
    <s v="341570843560"/>
    <s v="05ABSFA7387F1Z0 / AASTHA MEDI SOLUTIONS"/>
    <s v="05AAECM6380J1ZA / M/S M R HealthCare Pvt. Ltd."/>
    <s v="Haridwar / 247667"/>
    <s v="Ramnagar / 244715"/>
    <s v="341570843560 - 09/03/2023 17:37:00"/>
    <n v="1375"/>
    <d v="2023-03-09T00:00:00"/>
    <n v="34367.199999999997"/>
    <n v="6186.1"/>
    <x v="14"/>
    <s v="PRINTED ALUMINIUM FOIL"/>
    <s v="UK17CA4322"/>
    <n v="18.000011639004633"/>
  </r>
  <r>
    <s v="301569524690"/>
    <s v="05AAQCS5989R1ZZ / M/S SATYAM SHIVAM PACKAGING PRIVATE LIMITED"/>
    <s v="05AAECM6380J1ZA / M/S M R HealthCare Pvt. Ltd."/>
    <s v="Udham Singh Nagar / 263153"/>
    <s v="Ramnagar / 244715"/>
    <s v="301569524690 - 05/03/2023 10:47:00"/>
    <s v="SSP/22-23/1787"/>
    <d v="2023-03-05T00:00:00"/>
    <n v="86630"/>
    <n v="15593.4"/>
    <x v="18"/>
    <s v="250X220X230(5 PLY C BOX)"/>
    <s v="UK06CB0108"/>
    <n v="18"/>
  </r>
  <r>
    <s v="391568330392"/>
    <s v="06AYEPS2518M1Z4 / FORTUNE SOURCING"/>
    <s v="05AAECM6380J1ZA / M/S M R HealthCare Pvt. Ltd."/>
    <s v="Gurugram / 122001"/>
    <s v="Ramnagar / 244715"/>
    <s v="391568330392 - 02/03/2023 22:35:00"/>
    <s v="FS/0342/2022-23"/>
    <d v="2023-03-02T00:00:00"/>
    <n v="12325"/>
    <n v="2218.5"/>
    <x v="10"/>
    <s v="LAMI TUBE"/>
    <s v="UP16FT0269"/>
    <n v="18"/>
  </r>
  <r>
    <s v="341567224934"/>
    <s v="05AAJFB5728K1ZA / Blize Printers (2022-23)"/>
    <s v="05AAECM6380J1ZA / M.R. HEALTHCARE PVT. LTD."/>
    <s v="BHAGWANPUR / 247661"/>
    <s v="Ramnagar / 244715"/>
    <s v="341567224934 - 01/03/2023 02:02:00"/>
    <s v="BP/22-23/3764"/>
    <d v="2023-02-28T00:00:00"/>
    <n v="21290"/>
    <n v="3832.2"/>
    <x v="8"/>
    <s v="Carton"/>
    <s v="UK17CA4306"/>
    <n v="18"/>
  </r>
  <r>
    <s v="361579871159"/>
    <s v="05AAJFB5728K1ZA / Blize Printers (2022-23)"/>
    <s v="05AAECM6380J1ZA / M.R. HEALTHCARE PVT. LTD."/>
    <s v="BHAGWANPUR / 247661"/>
    <s v="Ramnagar / 244715"/>
    <s v="361579871159 - 30/03/2023 22:12:00"/>
    <s v="BP/22-23/4085"/>
    <d v="2023-03-29T00:00:00"/>
    <n v="37730.5"/>
    <n v="5668.3"/>
    <x v="8"/>
    <s v="Carton"/>
    <s v="UK18CA3698"/>
    <n v="15.02312452790183"/>
  </r>
  <r>
    <s v="391578977431"/>
    <s v="05AAJFB5728K1ZA / Blize Printers (2022-23)"/>
    <s v="05AAECM6380J1ZA / M.R. HEALTHCARE PVT. LTD."/>
    <s v="BHAGWANPUR / 247661"/>
    <s v="Ramnagar / 244715"/>
    <s v="391578977431 - 28/03/2023 22:22:00"/>
    <s v="BP/22-23/4058"/>
    <d v="2023-03-27T00:00:00"/>
    <n v="31211.5"/>
    <n v="5618.08"/>
    <x v="8"/>
    <s v="Carton"/>
    <s v="UK18CA3698"/>
    <n v="18.000032039472629"/>
  </r>
  <r>
    <s v="381580395491"/>
    <s v="05ABNPA6018N2ZK / Manish Pharma"/>
    <s v="05AAECM6380J1ZA / MR HEALTHCARE PVT LTD"/>
    <s v="Roorkee / 247667"/>
    <s v="KOSI ROAD,RAMNAGAR / 244715"/>
    <s v="381580395491 - 30/03/2023 22:12:00"/>
    <s v="MPR/22-23/5500"/>
    <d v="2023-03-30T00:00:00"/>
    <n v="77038.5"/>
    <n v="13866.94"/>
    <x v="1"/>
    <s v="CHLORZOXAZONE USP (MAKE-SARA)"/>
    <s v="UK18CA3698"/>
    <n v="18.000012980522726"/>
  </r>
  <r>
    <s v="331580518910"/>
    <s v="06AYEPS2518M1Z4 / FORTUNE SOURCING"/>
    <s v="05AAECM6380J1ZA / M/S M R HealthCare Pvt. Ltd."/>
    <s v="Gurugram / 122001"/>
    <s v="Ramnagar / 244715"/>
    <s v="331580518910 - 30/03/2023 21:46:00"/>
    <s v="FS/0369/2022-23"/>
    <d v="2023-03-30T00:00:00"/>
    <n v="26747.599999999999"/>
    <n v="4814.57"/>
    <x v="10"/>
    <s v="LAMI TUBE"/>
    <m/>
    <n v="18.000007477306376"/>
  </r>
  <r>
    <s v="371578971411"/>
    <s v="05ABNPA6018N2ZK / Manish Pharma"/>
    <s v="05AAECM6380J1ZA / MR HEALTHCARE PVT LTD"/>
    <s v="Roorkee / 247667"/>
    <s v="KOSI ROAD,RAMNAGAR / 244715"/>
    <s v="371578971411 - 28/03/2023 22:22:00"/>
    <s v="MPR/22-23/5432"/>
    <d v="2023-03-27T00:00:00"/>
    <n v="333750"/>
    <n v="16687.5"/>
    <x v="28"/>
    <s v="TRANEXAMIC ACID (SHILPA PHARMA)"/>
    <s v="UK18CA3698"/>
    <n v="5"/>
  </r>
  <r>
    <s v="381579940822"/>
    <s v="05AASFR5565R1Z4 / M/S ROORKEE FOIL"/>
    <s v="05AAECM6380J1ZA / M/S M R HealthCare Pvt. Ltd."/>
    <s v="Haridwar / 247667"/>
    <s v="Ramnagar / 244715"/>
    <s v="381579940822 - 30/03/2023 22:12:00"/>
    <s v="RK/22-23/2744"/>
    <d v="2023-03-29T00:00:00"/>
    <n v="43532.6"/>
    <n v="7835.86"/>
    <x v="20"/>
    <s v="BLISTER FOIL PRINTED"/>
    <s v="UK18CA3698"/>
    <n v="17.999981622967617"/>
  </r>
  <r>
    <s v="381580084557"/>
    <s v="05ABEFS5359M1ZP / S S Industries"/>
    <s v="05AAECM6380J1ZA / M.R. HEALTHCARE PVT. LTD."/>
    <s v="Selaqui, Dehradun / 248011"/>
    <s v="Kashipur Road,Ramnagar / 244715"/>
    <s v="381580084557 - 29/03/2023 19:20:00"/>
    <n v="2644"/>
    <d v="2023-03-29T00:00:00"/>
    <n v="156540"/>
    <n v="28177.200000000001"/>
    <x v="4"/>
    <s v="Noraday - Tz NF 20x10 Tab Carton"/>
    <s v="UK06CB7619"/>
    <n v="18"/>
  </r>
  <r>
    <s v="281560591221"/>
    <s v="27AAACH8217P1Z5 / HEER PHARMA PVT LTD"/>
    <s v="05AAECM6380J1ZA / M/S M R HealthCare Pvt. Ltd."/>
    <s v="Mumbai / 400025"/>
    <s v="Ramnagar / 244715"/>
    <s v="281560591221 - 17/03/2023 16:02:00"/>
    <s v="2022-23/000708"/>
    <d v="2023-03-11T00:00:00"/>
    <n v="350000"/>
    <n v="63000"/>
    <x v="29"/>
    <m/>
    <s v="UK18CA4773"/>
    <n v="18"/>
  </r>
  <r>
    <s v="281561292084"/>
    <s v="27AASCA9722G1Z9 / AARTI PHARMALABS LIMITED"/>
    <s v="05AAECM6380J1ZA / Ajanta Pharma Limited"/>
    <s v="Maharashtra / 401506"/>
    <s v="UTTARAKHAND / 244715"/>
    <s v="281561292084 - 13/03/2023 16:17:00"/>
    <s v="T42022000540"/>
    <d v="2023-03-13T00:00:00"/>
    <n v="682500"/>
    <n v="122850"/>
    <x v="30"/>
    <s v="Ramipril"/>
    <s v="UK19CA0142"/>
    <n v="18"/>
  </r>
  <r>
    <s v="201568902827"/>
    <s v="27AABFF5289R1ZM / FARMA FUSION"/>
    <s v="05AAECM6380J1ZA / M R HEALTHCARE PRIVATE LIMITED"/>
    <s v="BHIWANDI / 421302"/>
    <s v="Ramnagar / 244715"/>
    <s v="201568902827 - 31/03/2023 14:18:00"/>
    <n v="226396"/>
    <d v="2023-03-28T00:00:00"/>
    <n v="39769.75"/>
    <n v="7158.56"/>
    <x v="31"/>
    <m/>
    <s v="UK18TA0659"/>
    <n v="18.000012572369702"/>
  </r>
  <r>
    <s v="291569361152"/>
    <s v="27AAXFP8362R1ZU / PHARMACARE INTERNATIONAL"/>
    <s v="05AAECM6380J1ZA / M.R.HEALTHCARE PVT.LTD"/>
    <s v="PANCHAKULA / 133302"/>
    <s v="DIST NAINITAL / 244715"/>
    <s v="291569361152 - 29/03/2023 17:13:00"/>
    <s v="22-23/0694"/>
    <d v="2023-03-29T00:00:00"/>
    <n v="1470000"/>
    <n v="264600"/>
    <x v="32"/>
    <s v="AMOXYCILLIN TRIHYDRATE"/>
    <s v="UK04CB9936"/>
    <n v="18"/>
  </r>
  <r>
    <s v="261568628145"/>
    <s v="27AAACG1864F1ZS / G.C.Chemie Pharmie Ltd."/>
    <s v="05AAECM6380J1ZA / M.R Healthcare Pvt. Ltd"/>
    <s v="BHIWANDI,DIST-THANE / 421302"/>
    <s v="Ramnagar / 244715"/>
    <s v="261568628145 - 28/03/2023 14:03:00"/>
    <s v="GCBH001989"/>
    <d v="2023-03-28T00:00:00"/>
    <n v="1612500"/>
    <n v="290250"/>
    <x v="33"/>
    <s v="AZITHROMYCIN"/>
    <s v="UK18TA0659"/>
    <n v="18"/>
  </r>
  <r>
    <s v="281566874001"/>
    <s v="27AAFPP9715L1Z4 / ATMAN PHARMACEUTICALS"/>
    <s v="05AAECM6380J1ZA / M.R.HEALTHCARE PVT. LTD."/>
    <s v="DIST THANE / 421302"/>
    <s v="Nainital / 244715"/>
    <s v="281566874001 - 26/03/2023 14:56:00"/>
    <s v="SAL/2261"/>
    <d v="2023-03-24T00:00:00"/>
    <n v="150000"/>
    <n v="27000"/>
    <x v="29"/>
    <s v="PYRANTEL PAMOATE USP"/>
    <m/>
    <n v="18"/>
  </r>
  <r>
    <s v="241565150562"/>
    <s v="27AAFCS9959Q1Z4 / SNEHA MEDICARE PVT LTD"/>
    <s v="05AAECM6380J1ZA / MR HEALTHCARE PVTLTD"/>
    <s v="BHIWANDI / 421302"/>
    <s v="DISTNAINITAL, / 244715"/>
    <s v="241565150562 - 24/03/2023 10:06:00"/>
    <s v="H09873"/>
    <d v="2023-03-21T00:00:00"/>
    <n v="122250"/>
    <n v="22005"/>
    <x v="34"/>
    <m/>
    <s v="DL01GC8967"/>
    <n v="18"/>
  </r>
  <r>
    <s v="291564535260"/>
    <s v="27AVCPS6991D1Z6 / VENUS MARKETING"/>
    <s v="05AAECM6380J1ZA / M/S M R HealthCare Pvt. Ltd."/>
    <s v="BHIWANDI / 421302"/>
    <s v="Ramnagar / 244715"/>
    <s v="291564535260 - 23/03/2023 17:39:00"/>
    <n v="1049"/>
    <d v="2023-03-18T00:00:00"/>
    <n v="59297"/>
    <n v="10673"/>
    <x v="1"/>
    <m/>
    <s v="UK06CB5911"/>
    <n v="17.999224244059565"/>
  </r>
  <r>
    <s v="271563996686"/>
    <s v="27AICPM2590B1ZJ / SADHANA ENTERPRISES"/>
    <s v="05AAECM6380J1ZA / M R Healthcare Pvt Ltd"/>
    <s v="THANE Z5 / 421302"/>
    <s v="Nainital / 244715"/>
    <s v="271563996686 - 22/03/2023 12:47:00"/>
    <n v="3640"/>
    <d v="2023-03-18T00:00:00"/>
    <n v="310155"/>
    <n v="55828"/>
    <x v="35"/>
    <s v="NAPROXEN SODIUM BP/USP"/>
    <s v="UK18TA0659"/>
    <n v="18.000032241943543"/>
  </r>
  <r>
    <s v="261563990937"/>
    <s v="27AAAFA2049R1Z8 / APEX DISTRIBUTORS"/>
    <s v="05AAECM6380J1ZA / M.R.HEALTHCARE PVT.LTD.,"/>
    <s v="BHIWANDI / 421302"/>
    <s v="RAMNAGAR- / 244715"/>
    <s v="261563990937 - 21/03/2023 15:51:00"/>
    <s v="SAL/2240"/>
    <d v="2023-03-18T00:00:00"/>
    <n v="14750"/>
    <n v="2655"/>
    <x v="36"/>
    <s v="AMLODIPINE BESYLATE&quot;"/>
    <s v="UK18TA0659"/>
    <n v="18"/>
  </r>
  <r>
    <s v="211564065338"/>
    <s v="27AAEPM1479M1Z9 / MONARCH PHARMACHEM"/>
    <s v="05AAECM6380J1ZA / M R Healthcare Pvt Ltd"/>
    <s v="BHIWANDI / 421302"/>
    <s v="UTTARAKHAND / 244715"/>
    <s v="211564065338 - 21/03/2023 15:51:00"/>
    <n v="4444"/>
    <d v="2023-03-18T00:00:00"/>
    <n v="73574"/>
    <n v="13243.32"/>
    <x v="29"/>
    <s v="SILDENAFIL CITRATE IP"/>
    <s v="UK18TA0659"/>
    <n v="18"/>
  </r>
  <r>
    <s v="271563530707"/>
    <s v="27AADCE0854E1ZX / EPIONE PHARMACEUTICALS PRIVATE LIMITED, pune"/>
    <s v="05AAECM6380J1ZA / M/S M R HealthCare Pvt. Ltd."/>
    <s v="pune / 412308"/>
    <s v="Ramnagar / 244715"/>
    <s v="271563530707 - 17/03/2023 22:19:00"/>
    <s v="PR/007"/>
    <d v="2023-03-17T00:00:00"/>
    <n v="47651"/>
    <n v="5718.12"/>
    <x v="2"/>
    <m/>
    <s v="UK18CA4460"/>
    <n v="12"/>
  </r>
  <r>
    <s v="221562355557"/>
    <s v="27AADCV0444P1ZZ / VIRAJ PHARMACEUTICALS PVTLTD"/>
    <s v="05AAECM6380J1ZA / M R HEALTHCARE PVTLTD"/>
    <s v="Bhiwandi / 421302"/>
    <s v="DIST-NAINITAL / 244715"/>
    <s v="221562355557 - 17/03/2023 16:16:00"/>
    <n v="2391"/>
    <d v="2023-03-15T00:00:00"/>
    <n v="31824.41"/>
    <n v="5728"/>
    <x v="37"/>
    <m/>
    <s v="UK18CA4773"/>
    <n v="17.998762585072278"/>
  </r>
  <r>
    <s v="241561178357"/>
    <s v="27AAAFH4055N1Z7 / HARESH CHEMICALS, PURNA VILLAGE, BHIWANDI"/>
    <s v="05AAECM6380J1ZA / M/S M R HealthCare Pvt. Ltd."/>
    <s v="PURNA VILLAGE, BHIWANDI / 421302"/>
    <s v="RAMNAGAR DIST NAINITAL / 244715"/>
    <s v="241561178357 - 17/03/2023 16:02:00"/>
    <n v="986"/>
    <d v="2023-03-13T00:00:00"/>
    <n v="337669"/>
    <n v="16883.45"/>
    <x v="2"/>
    <s v="H.L. MEDICINE"/>
    <s v="UK18CA4773"/>
    <n v="5"/>
  </r>
  <r>
    <s v="291561145202"/>
    <s v="27AAFCS9959Q1Z4 / SNEHA MEDICARE PVT LTD"/>
    <s v="05AAECM6380J1ZA / MR HEALTHCARE PVTLTD"/>
    <s v="BHIWANDI / 421302"/>
    <s v="DISTNAINITAL, / 244715"/>
    <s v="291561145202 - 15/03/2023 15:56:00"/>
    <s v="H09600"/>
    <d v="2023-03-13T00:00:00"/>
    <n v="161000"/>
    <n v="28980"/>
    <x v="38"/>
    <m/>
    <s v="DL01GE1428"/>
    <n v="18"/>
  </r>
  <r>
    <s v="221560233271"/>
    <s v="27AAFCS9959Q1Z4 / SNEHA MEDICARE PVT LTD"/>
    <s v="05AAECM6380J1ZA / MR HEALTHCARE PVTLTD"/>
    <s v="BHIWANDI / 421302"/>
    <s v="DISTNAINITAL, / 244715"/>
    <s v="221560233271 - 11/03/2023 17:09:00"/>
    <s v="H09562"/>
    <d v="2023-03-10T00:00:00"/>
    <n v="2610000"/>
    <n v="469800"/>
    <x v="39"/>
    <m/>
    <s v="HR55Y7458"/>
    <n v="18"/>
  </r>
  <r>
    <s v="261558523467"/>
    <s v="27AACCG4948E1ZL / GENERAL IMPORT COMPANY (INDIA) PRIVATE LIMITED, BHIWANDI"/>
    <s v="05AAECM6380J1ZA / M/S M R HealthCare Pvt. Ltd."/>
    <s v="BHIWANDI / 421302"/>
    <s v="RAMNAGAR DIST NAINITAL / 244715"/>
    <s v="261558523467 - 10/03/2023 18:24:00"/>
    <s v="2022-23/002319"/>
    <d v="2023-03-06T00:00:00"/>
    <n v="46316.27"/>
    <n v="8336.93"/>
    <x v="40"/>
    <s v="IP"/>
    <s v="UK18TA0659"/>
    <n v="18.000003022695914"/>
  </r>
  <r>
    <s v="251558295310"/>
    <s v="27AAFCS9959Q1Z4 / SNEHA MEDICARE PVT LTD"/>
    <s v="05AAECM6380J1ZA / MR HEALTHCARE PVTLTD"/>
    <s v="BHIWANDI / 421302"/>
    <s v="DISTNAINITAL, / 244715"/>
    <s v="251558295310 - 10/03/2023 18:24:00"/>
    <s v="H09426"/>
    <d v="2023-03-06T00:00:00"/>
    <n v="246750"/>
    <n v="44415"/>
    <x v="41"/>
    <m/>
    <s v="UA04A7926"/>
    <n v="18"/>
  </r>
  <r>
    <s v="201558295063"/>
    <s v="27AAACH8217P1Z5 / HEER PHARMA PVT LTD"/>
    <s v="05AAECM6380J1ZA / M/S M R HealthCare Pvt. Ltd."/>
    <s v="Mumbai / 400025"/>
    <s v="Ramnagar / 244715"/>
    <s v="201558295063 - 08/03/2023 17:39:00"/>
    <s v="2022-23/000696"/>
    <d v="2023-03-06T00:00:00"/>
    <n v="175000"/>
    <n v="31500"/>
    <x v="29"/>
    <m/>
    <s v="UK18TA0659"/>
    <n v="18"/>
  </r>
  <r>
    <s v="271556825157"/>
    <s v="27AAAFP8067G1Z2 / PIOMA CHEMICALS"/>
    <s v="05AAECM6380J1ZA / M R Healthcare Pvt Ltd"/>
    <s v="THANE / 421302"/>
    <s v="Nainital / 244715"/>
    <s v="271556825157 - 03/03/2023 17:37:00"/>
    <n v="110067"/>
    <d v="2023-03-02T00:00:00"/>
    <n v="235250"/>
    <n v="42345"/>
    <x v="42"/>
    <m/>
    <s v="UK18CA4767"/>
    <n v="18"/>
  </r>
  <r>
    <s v="121620718172"/>
    <s v="29ABDCS6552L1ZR / Shilpa Pharma Lifesciences Ltd"/>
    <s v="05AAECM6380J1ZA / M.R.HEALTHCARE PVT LTD"/>
    <s v="Devasugur,Raichur / 584170"/>
    <s v="Ram Nagar / 244715"/>
    <s v="121620718172 - 31/03/2023 19:24:00"/>
    <s v="IN2223292489"/>
    <d v="2023-03-29T00:00:00"/>
    <n v="242625"/>
    <n v="12131.25"/>
    <x v="43"/>
    <s v="URSODEOXYCHOLIC ACID (UDCA)"/>
    <s v="UK18TA0659"/>
    <n v="5"/>
  </r>
  <r>
    <s v="181615343817"/>
    <s v="36AAXCS6346M1ZC / SANZYME BIOLOGICS PRIVATE LIMITED"/>
    <s v="05AAECM6380J1ZA / M/S M R HealthCare Pvt. Ltd."/>
    <s v="KARKAPATLA , SIDDIPETDIST., / 502281"/>
    <s v="Ramnagar / 244715"/>
    <s v="181615343817 - 19/03/2023 03:42:00"/>
    <n v="11100510"/>
    <d v="2023-03-18T00:00:00"/>
    <n v="350000"/>
    <n v="42000"/>
    <x v="44"/>
    <s v="Lactic Acid Bacillus (L) 100 Billion CFU/g"/>
    <s v="UK06CB5878"/>
    <n v="12"/>
  </r>
  <r>
    <s v="171612396853"/>
    <s v="36AAXCS6346M1ZC / SANZYME BIOLOGICS PRIVATE LIMITED"/>
    <s v="05AAECM6380J1ZA / M/S M R HealthCare Pvt. Ltd."/>
    <s v="KARAKAPATLA SIDDIPET / 502281"/>
    <s v="Vill.Tanda Mallu,Kashipur Road, Ramnagar ,NAINITAL / 244715"/>
    <s v="171612396853 - 14/03/2023 03:50:00"/>
    <n v="11100497"/>
    <d v="2023-03-13T00:00:00"/>
    <n v="50000"/>
    <n v="6000"/>
    <x v="44"/>
    <s v="Lactic Acid Bacillus (MT) 15 Billion CFU/g"/>
    <s v="UK18CA4837"/>
    <n v="12"/>
  </r>
  <r>
    <s v="391441939386"/>
    <s v="05AAJFB5728K1ZA / Blize Printers 2022-23"/>
    <s v="05AAECM6380J1ZA / M.R. HEALTHCARE PVT. LTD."/>
    <s v="/ 247661"/>
    <s v="/ 244715"/>
    <s v="391441939386 - 30/04/2022 21:57:00"/>
    <s v="BP/22-23/0334"/>
    <d v="2022-04-30T00:00:00"/>
    <n v="107044.35"/>
    <n v="19267.98"/>
    <x v="8"/>
    <s v="Carton"/>
    <s v="UK18CA3698"/>
    <n v="17.999997197423308"/>
  </r>
  <r>
    <s v="341441495557"/>
    <s v="05AAHFI1252P1Z8 / IATRIC BIO SCIENCES LLP"/>
    <s v="05AAECM6380J1ZA / M.R.HEALTHCARE PVT. LTD."/>
    <s v="Roorkee / 247667"/>
    <s v="KASHIPUR / 244715"/>
    <s v="341441495557 - 29/04/2022 23:11:00"/>
    <s v="IBS/22-23/00789"/>
    <d v="2022-04-29T00:00:00"/>
    <n v="37019"/>
    <n v="6663.42"/>
    <x v="45"/>
    <s v="VITAMIN D3 STABILIZED 500000 IU/GM(29362800)STABICO"/>
    <s v="UK17CA4358"/>
    <n v="18"/>
  </r>
  <r>
    <s v="351441450210"/>
    <s v="05AAJFB5728K1ZA / Blize Printers 2022-23"/>
    <s v="05AAECM6380J1ZA / M.R. HEALTHCARE PVT. LTD."/>
    <s v="/ 247661"/>
    <s v="/ 244715"/>
    <s v="351441450210 - 29/04/2022 23:11:00"/>
    <s v="BP/22-23/0312"/>
    <d v="2022-04-28T00:00:00"/>
    <n v="142652.25"/>
    <n v="25677.4"/>
    <x v="8"/>
    <s v="Carton"/>
    <s v="UK18CA3698"/>
    <n v="17.999996494972915"/>
  </r>
  <r>
    <s v="351441025245"/>
    <s v="05AAUCS2953B1ZA / VIVA PACK PVT. LTD."/>
    <s v="05AAECM6380J1ZA / M.R HEALTHCARE PVT LTD."/>
    <s v="Roorkee / 247667"/>
    <s v="UTTARAKHAND / 244715"/>
    <s v="351441025245 - 28/04/2022 17:38:00"/>
    <s v="GST-2223-184"/>
    <d v="2022-04-28T00:00:00"/>
    <n v="142365.35999999999"/>
    <n v="25625.759999999998"/>
    <x v="17"/>
    <s v="PET BOTTLES 60 ML10 GM RD AMB 936"/>
    <s v="UK17CA4358"/>
    <n v="17.999996628393312"/>
  </r>
  <r>
    <s v="341440078883"/>
    <s v="02AKAPC8938R1ZU / COAT AND COAT PHARMACARE"/>
    <s v="05AAECM6380J1ZA / M/S M R HealthCare Pvt. Ltd."/>
    <s v="Solan / 173205"/>
    <s v="Ramnagar / 244715"/>
    <s v="341440078883 - 26/04/2022 17:49:00"/>
    <n v="140"/>
    <d v="2022-04-26T00:00:00"/>
    <n v="60000"/>
    <n v="10800"/>
    <x v="46"/>
    <s v="TABLET COATING MATERIAL"/>
    <s v="uk06cb8289"/>
    <n v="18"/>
  </r>
  <r>
    <s v="321439657501"/>
    <s v="05AAJFB5728K1ZA / Blize Printers 2022-23"/>
    <s v="05AAECM6380J1ZA / M.R. HEALTHCARE PVT. LTD."/>
    <s v="/ 247661"/>
    <s v="/ 244715"/>
    <s v="321439657501 - 25/04/2022 23:51:00"/>
    <s v="BP/22-23/0281"/>
    <d v="2022-04-25T00:00:00"/>
    <n v="39045"/>
    <n v="7028.12"/>
    <x v="8"/>
    <s v="Carton"/>
    <s v="UK17CA4322"/>
    <n v="18.000051222947882"/>
  </r>
  <r>
    <s v="351439113057"/>
    <s v="05ABSFA7387F1Z0 / AASTHA MEDI SOLUTIONS"/>
    <s v="05AAECM6380J1ZA / M/S M R HealthCare Pvt. Ltd."/>
    <s v="Haridwar / 247667"/>
    <s v="Ramnagar / 244715"/>
    <s v="351439113057 - 23/04/2022 17:42:00"/>
    <n v="80"/>
    <d v="2022-04-23T00:00:00"/>
    <n v="19000"/>
    <n v="3420"/>
    <x v="11"/>
    <s v="PRINTED CYLINDER"/>
    <s v="UK17CA4303"/>
    <n v="18"/>
  </r>
  <r>
    <s v="391439108815"/>
    <s v="05ABSFA7387F1Z0 / AASTHA MEDI SOLUTIONS"/>
    <s v="05AAECM6380J1ZA / M/S M R HealthCare Pvt. Ltd."/>
    <s v="Haridwar / 247667"/>
    <s v="Ramnagar / 244715"/>
    <s v="391439108815 - 23/04/2022 17:35:00"/>
    <n v="79"/>
    <d v="2022-04-23T00:00:00"/>
    <n v="75702"/>
    <n v="13626.36"/>
    <x v="14"/>
    <s v="ALUMINIUM PRINTED FOIL"/>
    <s v="UK17CA4303"/>
    <n v="18"/>
  </r>
  <r>
    <s v="301438144235"/>
    <s v="05ADVFS5795G1Z9 / SHRI KRISHNA POLYMER"/>
    <s v="05AAECM6380J1ZA / M/S M R HealthCare Pvt. Ltd."/>
    <s v="Haridwar / 247667"/>
    <s v="Ramnagar / 244715"/>
    <s v="301438144235 - 21/04/2022 22:36:00"/>
    <n v="80"/>
    <d v="2022-04-21T00:00:00"/>
    <n v="195090"/>
    <n v="35116.199999999997"/>
    <x v="6"/>
    <s v="PVC FILM"/>
    <s v="UK17CA4322"/>
    <n v="17.999999999999996"/>
  </r>
  <r>
    <s v="301438118636"/>
    <s v="05ALGPC9789H1ZQ / OM PHARMACEUTICALS"/>
    <s v="05AAECM6380J1ZA / M/S M R HealthCare Pvt. Ltd."/>
    <s v="Haridwar / 249402"/>
    <s v="Ramnagar / 244715"/>
    <s v="301438118636 - 21/04/2022 20:15:00"/>
    <s v="OP/00029/2022-23"/>
    <d v="2022-04-21T00:00:00"/>
    <n v="192000"/>
    <n v="34560"/>
    <x v="26"/>
    <s v="PVPK30"/>
    <s v="UK17CA4322"/>
    <n v="18"/>
  </r>
  <r>
    <s v="321438192649"/>
    <s v="06AYEPS2518M1Z4 / FORTUNE SOURCING"/>
    <s v="05AAECM6380J1ZA / M/S M R HealthCare Pvt. Ltd."/>
    <s v="Gurugram / 122001"/>
    <s v="Ramnagar / 244715"/>
    <s v="321438192649 - 21/04/2022 19:13:00"/>
    <s v="FS/0017/2022-23"/>
    <d v="2022-04-21T00:00:00"/>
    <n v="127080.4"/>
    <n v="22874.47"/>
    <x v="10"/>
    <s v="LAMI TUBE"/>
    <s v="UK06CA1492"/>
    <n v="17.999998426193184"/>
  </r>
  <r>
    <s v="341437293770"/>
    <s v="05KBGPS5273E1ZC / SUNDERAM PACKAGING"/>
    <s v="05AAECM6380J1ZA / M/S M R HealthCare Pvt. Ltd."/>
    <s v="Udham Singh Nagar / 263153"/>
    <s v="Ramnagar / 244715"/>
    <s v="341437293770 - 20/04/2022 06:58:00"/>
    <s v="SP23"/>
    <d v="2022-04-19T00:00:00"/>
    <n v="50250"/>
    <n v="9045"/>
    <x v="47"/>
    <s v="FOIL"/>
    <s v="UK06CB1942"/>
    <n v="18"/>
  </r>
  <r>
    <s v="341437236829"/>
    <s v="05AAJFB5728K1ZA / Blize Printers 2022-23"/>
    <s v="05AAECM6380J1ZA / M.R. HEALTHCARE PVT. LTD."/>
    <s v="/ 247661"/>
    <s v="/ 244715"/>
    <s v="341437236829 - 19/04/2022 23:45:00"/>
    <s v="BP/22-23/0214"/>
    <d v="2022-04-19T00:00:00"/>
    <n v="29951"/>
    <n v="5391.18"/>
    <x v="8"/>
    <s v="Carton"/>
    <s v="UK17CA4322"/>
    <n v="18"/>
  </r>
  <r>
    <s v="391436389851"/>
    <s v="05KBGPS5273E1ZC / SUNDERAM PACKAGING"/>
    <s v="05AAECM6380J1ZA / M/S M R HealthCare Pvt. Ltd."/>
    <s v="Udham Singh Nagar / 263153"/>
    <s v="Ramnagar / 244715"/>
    <s v="391436389851 - 17/04/2022 06:52:00"/>
    <s v="SP20"/>
    <d v="2022-04-16T00:00:00"/>
    <n v="51966"/>
    <n v="9353.8799999999992"/>
    <x v="47"/>
    <s v="FOIL"/>
    <s v="UK06CB1942"/>
    <n v="17.999999999999996"/>
  </r>
  <r>
    <s v="391434697446"/>
    <s v="05AAJFB5728K1ZA / Blize Printers 2022-23"/>
    <s v="05AAECM6380J1ZA / M.R. HEALTHCARE PVT. LTD."/>
    <s v="/ 247661"/>
    <s v="/ 244715"/>
    <s v="391434697446 - 12/04/2022 23:11:00"/>
    <s v="BP/22-23/0114"/>
    <d v="2022-04-11T00:00:00"/>
    <n v="112455.6"/>
    <n v="20242"/>
    <x v="8"/>
    <s v="Carton"/>
    <s v="UK18CA3698"/>
    <n v="17.999992886081262"/>
  </r>
  <r>
    <s v="381434364154"/>
    <s v="05AAHCT0752E1ZN / Tiwari Pharma Pvt. Ltd."/>
    <s v="05AAECM6380J1ZA / M.R. HEALTHCARE PVT. LTD."/>
    <s v="Bahadrabad / 249402"/>
    <s v="Ramnagar / 244715"/>
    <s v="381434364154 - 11/04/2022 18:21:00"/>
    <s v="TPPL/22-23/301"/>
    <d v="2022-04-11T00:00:00"/>
    <n v="14500"/>
    <n v="2610"/>
    <x v="48"/>
    <s v="Primojel-Sodium Starch Glycolate Usp-Nf"/>
    <s v="UK18CA6566"/>
    <n v="18"/>
  </r>
  <r>
    <s v="371432861021"/>
    <s v="05AASFR5565R1Z4 / M/S ROORKEE FOIL"/>
    <s v="05AAECM6380J1ZA / M/S M R HealthCare Pvt. Ltd."/>
    <s v="Haridwar / 247667"/>
    <s v="Ramnagar / 244715"/>
    <s v="371432861021 - 08/04/2022 00:34:00"/>
    <s v="RK/22-23/0052"/>
    <d v="2022-04-07T00:00:00"/>
    <n v="54660.800000000003"/>
    <n v="9838.94"/>
    <x v="20"/>
    <s v="BLISTER FOIL PRINTED"/>
    <s v="UK18CA4767"/>
    <n v="17.999992682141496"/>
  </r>
  <r>
    <s v="321432051739"/>
    <s v="05ANTPS9188H1Z0 / G K PHARMA"/>
    <s v="05AAECM6380J1ZA / MR HEALTHCARE PVT LTD"/>
    <s v="ROORKEE / 247667"/>
    <s v="Ramnagar / 244715"/>
    <s v="321432051739 - 06/04/2022 00:33:00"/>
    <s v="GKUK/0018/22-23"/>
    <d v="2022-04-05T00:00:00"/>
    <n v="22700"/>
    <n v="4086"/>
    <x v="1"/>
    <m/>
    <s v="UK17CA4322"/>
    <n v="18"/>
  </r>
  <r>
    <s v="371432051338"/>
    <s v="05ALGPC9789H1ZQ / OM PHARMACEUTICALS"/>
    <s v="05AAECM6380J1ZA / M/S M R HealthCare Pvt. Ltd."/>
    <s v="Haridwar / 249402"/>
    <s v="Ramnagar / 244715"/>
    <s v="371432051338 - 05/04/2022 22:49:00"/>
    <s v="OP/00008/2022-23"/>
    <d v="2022-04-05T00:00:00"/>
    <n v="115000"/>
    <n v="20700"/>
    <x v="26"/>
    <s v="CROSSPOVIDONE XL10"/>
    <s v="UK18CA4767"/>
    <n v="18"/>
  </r>
  <r>
    <s v="371431651410"/>
    <s v="05AAJFB5728K1ZA / Blize Printer 2022-23"/>
    <s v="05AAECM6380J1ZA / M.R. HEALTHCARE PVT. LTD."/>
    <s v="/ 247661"/>
    <s v="/ 244715"/>
    <s v="371431651410 - 04/04/2022 23:26:00"/>
    <s v="BP/22-23/0035"/>
    <d v="2022-04-04T00:00:00"/>
    <n v="97745.2"/>
    <n v="17594.14"/>
    <x v="8"/>
    <s v="Carton"/>
    <s v="UK18CA4767"/>
    <n v="18.000004092272562"/>
  </r>
  <r>
    <s v="311429794576"/>
    <s v="06AYEPS2518M1Z4 / FORTUNE SOURCING"/>
    <s v="05AAECM6380J1ZA / M/S M R HealthCare Pvt. Ltd."/>
    <s v="Gurugram / 122001"/>
    <s v="Ramnagar / 244715"/>
    <s v="311429794576 - 01/04/2022 00:12:00"/>
    <s v="FS/0345/2021-22"/>
    <d v="2022-03-30T00:00:00"/>
    <n v="58002.400000000001"/>
    <n v="10440.43"/>
    <x v="10"/>
    <s v="LAMI TUBE"/>
    <s v="UK06CB1747"/>
    <n v="17.999996551866818"/>
  </r>
  <r>
    <s v="361441017724"/>
    <s v="05FYDPS0716P2ZZ / PHARMA PACK"/>
    <s v="05AAECM6380J1ZA / M/S M R HealthCare Pvt. Ltd."/>
    <s v="Haridwar / 247667"/>
    <s v="Ramnagar / 244715"/>
    <s v="361441017724 - 28/04/2022 22:25:00"/>
    <s v="PP/013"/>
    <d v="2022-04-28T00:00:00"/>
    <n v="60644"/>
    <n v="10915.92"/>
    <x v="47"/>
    <s v="PACKING MATERIAL"/>
    <s v="UK17CA4358"/>
    <n v="18"/>
  </r>
  <r>
    <s v="361440086741"/>
    <s v="05AAJFB5728K1ZA / Blize Printers 2022-23"/>
    <s v="05AAECM6380J1ZA / M.R. HEALTHCARE PVT. LTD."/>
    <s v="/ 247661"/>
    <s v="/ 244715"/>
    <s v="361440086741 - 26/04/2022 23:30:00"/>
    <s v="BP/22-23/0295"/>
    <d v="2022-04-26T00:00:00"/>
    <n v="33680"/>
    <n v="6062.4"/>
    <x v="8"/>
    <s v="Carton"/>
    <s v="UK17CA1878"/>
    <n v="18"/>
  </r>
  <r>
    <s v="301439951999"/>
    <s v="05ALGPC9789H1ZQ / OM PHARMACEUTICALS"/>
    <s v="05AAECM6380J1ZA / M/S M R HealthCare Pvt. Ltd."/>
    <s v="Haridwar / 249402"/>
    <s v="Ramnagar / 244715"/>
    <s v="301439951999 - 26/04/2022 12:57:00"/>
    <s v="OP/00035/2022-23"/>
    <d v="2022-04-26T00:00:00"/>
    <n v="112450"/>
    <n v="20241"/>
    <x v="49"/>
    <s v="HPMC E15 USP 30"/>
    <s v="UK08CB0245"/>
    <n v="18"/>
  </r>
  <r>
    <s v="311439875944"/>
    <s v="05ALGPC9789H1ZQ / OM PHARMACEUTICALS"/>
    <s v="05AAECM6380J1ZA / M/S M R HealthCare Pvt. Ltd."/>
    <s v="Haridwar / 249402"/>
    <s v="Ramnagar / 244715"/>
    <s v="311439875944 - 26/04/2022 10:41:00"/>
    <s v="OP/00034/2022-23"/>
    <d v="2022-04-26T00:00:00"/>
    <n v="237500"/>
    <n v="42750"/>
    <x v="49"/>
    <s v="CROSS CARMELOSE SODIUM BP USP"/>
    <s v="UK08CB0245"/>
    <n v="18"/>
  </r>
  <r>
    <s v="331437992043"/>
    <s v="06AABCF5740N1ZG / Alutech Packaging Private Limited"/>
    <s v="05AAECM6380J1ZA / M R Healthcare Pvt Ltd"/>
    <s v="Bahadurgarh / 124507"/>
    <s v="NANITAL / 244715"/>
    <s v="331437992043 - 21/04/2022 10:47:00"/>
    <s v="APPL/22-23/404"/>
    <d v="2022-04-21T00:00:00"/>
    <n v="329026.05"/>
    <n v="59224.69"/>
    <x v="14"/>
    <s v="Aluminium Foil"/>
    <m/>
    <n v="18.000000303927305"/>
  </r>
  <r>
    <s v="301437984801"/>
    <s v="06AABCF5740N1ZG / Alutech Packaging Private Limited"/>
    <s v="05AAECM6380J1ZA / M R Healthcare Pvt Ltd"/>
    <s v="Bahadurgarh / 124507"/>
    <s v="NANITAL / 244715"/>
    <s v="301437984801 - 21/04/2022 10:30:00"/>
    <s v="APPL/22-23/402"/>
    <d v="2022-04-21T00:00:00"/>
    <n v="486955.8"/>
    <n v="87652.04"/>
    <x v="14"/>
    <s v="Aluminium Foil"/>
    <m/>
    <n v="17.99999917857021"/>
  </r>
  <r>
    <s v="321437774675"/>
    <s v="05AASFR5565R1Z4 / M/S ROORKEE FOIL"/>
    <s v="05AAECM6380J1ZA / M/S M R HealthCare Pvt. Ltd."/>
    <s v="Haridwar / 247667"/>
    <s v="Ramnagar / 244715"/>
    <s v="321437774675 - 20/04/2022 23:03:00"/>
    <s v="RK/22-23/0153"/>
    <d v="2022-04-20T00:00:00"/>
    <n v="59078.400000000001"/>
    <n v="10634.12"/>
    <x v="20"/>
    <s v="BLISTER FOIL PRINTED"/>
    <s v="UK18TA0659"/>
    <n v="18.000013541328133"/>
  </r>
  <r>
    <s v="351436372693"/>
    <s v="05AAJFB5728K1ZA / Blize Printers 2022-23"/>
    <s v="05AAECM6380J1ZA / M.R. HEALTHCARE PVT. LTD."/>
    <s v="/ 247661"/>
    <s v="/ 244715"/>
    <s v="351436372693 - 16/04/2022 23:49:00"/>
    <s v="BP/22-23/0187"/>
    <d v="2022-04-16T00:00:00"/>
    <n v="199214.4"/>
    <n v="35858.6"/>
    <x v="8"/>
    <s v="Carton"/>
    <s v="UK18CA3698"/>
    <n v="18.00000401577396"/>
  </r>
  <r>
    <s v="391435468601"/>
    <s v="05AAGFH2542C1ZY / HIMALAYAN CAPSCON INDUSTRIES"/>
    <s v="05AAECM6380J1ZA / M/S M R HealthCare Pvt. Ltd."/>
    <s v="Dehradun / 248011"/>
    <s v="Ramnagar / 244715"/>
    <s v="391435468601 - 15/04/2022 10:24:00"/>
    <s v="HCI/22-23/017"/>
    <d v="2022-04-14T00:00:00"/>
    <n v="72500"/>
    <n v="13050"/>
    <x v="17"/>
    <m/>
    <s v="UK04CA9162"/>
    <n v="18"/>
  </r>
  <r>
    <s v="351435533473"/>
    <s v="05AAJFB5728K1ZA / Blize Printers 2022-23"/>
    <s v="05AAECM6380J1ZA / M.R. HEALTHCARE PVT. LTD."/>
    <s v="/ 247661"/>
    <s v="/ 244715"/>
    <s v="351435533473 - 14/04/2022 23:39:00"/>
    <s v="BP/22-23/0149"/>
    <d v="2022-04-14T00:00:00"/>
    <n v="169595"/>
    <n v="29209.32"/>
    <x v="8"/>
    <s v="Carton"/>
    <s v="UK18CA3698"/>
    <n v="17.222984168165336"/>
  </r>
  <r>
    <s v="361435661595"/>
    <s v="05ABIPT0216G1ZY / M/S Gautam Minirals Chemicals"/>
    <s v="05AAECM6380J1ZA / M/S M R HealthCare Pvt. Ltd."/>
    <s v="Nainital / 263139"/>
    <s v="Ramnagar / 244715"/>
    <s v="361435661595 - 14/04/2022 20:13:00"/>
    <s v="22-23/029"/>
    <d v="2022-04-14T00:00:00"/>
    <n v="125850"/>
    <n v="15102"/>
    <x v="16"/>
    <m/>
    <s v="UK06CA9510"/>
    <n v="12"/>
  </r>
  <r>
    <s v="311435251320"/>
    <s v="05ABNPA6018N2ZK / Manish Pharma"/>
    <s v="05AAECM6380J1ZA / MR HEALTHCARE PVT LTD"/>
    <s v="ROORKEE / 247667"/>
    <s v="KOSI ROAD,RAMNAGAR / 244715"/>
    <s v="311435251320 - 14/04/2022 19:06:00"/>
    <s v="MPR/22-23/0142"/>
    <d v="2022-04-13T00:00:00"/>
    <n v="468984.38"/>
    <n v="84417.18"/>
    <x v="33"/>
    <s v="OFLOXACIN IP ( MAKE - INFINITY )"/>
    <s v="UK18CA0203"/>
    <n v="17.999998208895573"/>
  </r>
  <r>
    <s v="331435149331"/>
    <s v="05ADVFS5795G1Z9 / SHRI KRISHNA POLYMER"/>
    <s v="05AAECM6380J1ZA / M/S M R HealthCare Pvt. Ltd."/>
    <s v="Haridwar / 247667"/>
    <s v="Ramnagar / 244715"/>
    <s v="331435149331 - 13/04/2022 23:53:00"/>
    <n v="46"/>
    <d v="2022-04-13T00:00:00"/>
    <n v="339322.5"/>
    <n v="61078.06"/>
    <x v="6"/>
    <s v="mt silver"/>
    <s v="UK18CA3698"/>
    <n v="18.000002947048898"/>
  </r>
  <r>
    <s v="351434680192"/>
    <s v="05ALGPC9789H1ZQ / OM PHARMACEUTICALS"/>
    <s v="05AAECM6380J1ZA / M/S M R HealthCare Pvt. Ltd."/>
    <s v="Haridwar / 249402"/>
    <s v="Ramnagar / 244715"/>
    <s v="351434680192 - 12/04/2022 20:30:00"/>
    <s v="OP/00016/2022-23"/>
    <d v="2022-04-12T00:00:00"/>
    <n v="105600"/>
    <n v="19008"/>
    <x v="50"/>
    <s v="ISO PROPYL ALCOHOL"/>
    <s v="UK18CA3698"/>
    <n v="18"/>
  </r>
  <r>
    <s v="311434845603"/>
    <s v="05AAQCS5989R1ZZ / M/S SATYAM SHIVAM PACKAGING PRIVATE LIMITED"/>
    <s v="05AAECM6380J1ZA / M/S M R HealthCare Pvt. Ltd."/>
    <s v="Udham Singh Nagar / 263153"/>
    <s v="Ramnagar / 244715"/>
    <s v="311434845603 - 12/04/2022 19:55:00"/>
    <n v="61"/>
    <d v="2022-04-12T00:00:00"/>
    <n v="58583"/>
    <n v="10544.94"/>
    <x v="18"/>
    <s v="450X410X440 5 PLY C BOX"/>
    <s v="UK06CB0108"/>
    <n v="18"/>
  </r>
  <r>
    <s v="321434843048"/>
    <s v="05AAQCS5989R1ZZ / M/S SATYAM SHIVAM PACKAGING PRIVATE LIMITED"/>
    <s v="05AAECM6380J1ZA / M/S M R HealthCare Pvt. Ltd."/>
    <s v="Udham Singh Nagar / 263153"/>
    <s v="Ramnagar / 244715"/>
    <s v="321434843048 - 12/04/2022 19:48:00"/>
    <n v="60"/>
    <d v="2022-04-12T00:00:00"/>
    <n v="58583"/>
    <n v="10544.94"/>
    <x v="18"/>
    <s v="450X410X440 5 PLY C BOX"/>
    <s v="UK06CB0108"/>
    <n v="18"/>
  </r>
  <r>
    <s v="371434214632"/>
    <s v="05ABNPA6018N2ZK / Manish Pharma"/>
    <s v="05AAECM6380J1ZA / MR HEALTHCARE PVT LTD"/>
    <s v="ROORKEE / 247667"/>
    <s v="KOSI ROAD,RAMNAGAR / 244715"/>
    <s v="371434214632 - 11/04/2022 22:27:00"/>
    <s v="MPR/22-23/0100"/>
    <d v="2022-04-11T00:00:00"/>
    <n v="1986993"/>
    <n v="357658.74"/>
    <x v="19"/>
    <s v="PARACETAMOL IP (MAKE:-FARMSON)"/>
    <s v="UK06CB8826"/>
    <n v="18"/>
  </r>
  <r>
    <s v="371434436249"/>
    <s v="05ANTPS9188H1Z0 / G K PHARMA"/>
    <s v="05AAECM6380J1ZA / MR HEALTHCARE PVT LTD"/>
    <s v="ROORKEE / 247667"/>
    <s v="Ramnagar / 244715"/>
    <s v="371434436249 - 11/04/2022 21:39:00"/>
    <s v="GKUK/0049/22-23"/>
    <d v="2022-04-11T00:00:00"/>
    <n v="214500"/>
    <n v="38610"/>
    <x v="5"/>
    <m/>
    <s v="HP17C1548"/>
    <n v="18"/>
  </r>
  <r>
    <s v="351434172701"/>
    <s v="05ALGPC9789H1ZQ / OM PHARMACEUTICALS"/>
    <s v="05AAECM6380J1ZA / M/S M R HealthCare Pvt. Ltd."/>
    <s v="Haridwar / 249402"/>
    <s v="Ramnagar / 244715"/>
    <s v="351434172701 - 11/04/2022 20:44:00"/>
    <s v="OP/00013/2022-23"/>
    <d v="2022-04-11T00:00:00"/>
    <n v="76875"/>
    <n v="13837.5"/>
    <x v="3"/>
    <s v="MANITOL IP"/>
    <s v="UK18CA5709"/>
    <n v="18"/>
  </r>
  <r>
    <s v="381433558422"/>
    <s v="04AAKFM1274G1ZG / DPB ANTIBIOTICS"/>
    <s v="05AAECM6380J1ZA / M R Healthcare Pvt Ltd"/>
    <s v="CHANDIGARH / 160101"/>
    <s v="UTTARAKHAND / 244715"/>
    <s v="381433558422 - 09/04/2022 23:56:00"/>
    <s v="CHN000067"/>
    <d v="2022-04-08T00:00:00"/>
    <n v="997500"/>
    <n v="179550"/>
    <x v="32"/>
    <s v="AMOXICILLIN TRIHY. BP COMPACTED"/>
    <s v="UA050619"/>
    <n v="18"/>
  </r>
  <r>
    <s v="391433631458"/>
    <s v="05ABSFA7387F1Z0 / AASTHA MEDI SOLUTIONS"/>
    <s v="05AAECM6380J1ZA / M/S M R HealthCare Pvt. Ltd."/>
    <s v="Haridwar / 247667"/>
    <s v="Ramnagar / 244715"/>
    <s v="391433631458 - 09/04/2022 13:15:00"/>
    <n v="36"/>
    <d v="2022-04-09T00:00:00"/>
    <n v="55343.85"/>
    <n v="9961.9"/>
    <x v="14"/>
    <s v="ALUMUNIUM PRINTED FOIL"/>
    <s v="UK17CA4303"/>
    <n v="18.000012648198492"/>
  </r>
  <r>
    <s v="371433313141"/>
    <s v="05ABSFA7387F1Z0 / AASTHA MEDI SOLUTIONS"/>
    <s v="05AAECM6380J1ZA / M/S M R HealthCare Pvt. Ltd."/>
    <s v="Haridwar / 247667"/>
    <s v="Ramnagar / 244715"/>
    <s v="371433313141 - 08/04/2022 16:37:00"/>
    <n v="31"/>
    <d v="2022-04-08T00:00:00"/>
    <n v="57474"/>
    <n v="10345.32"/>
    <x v="14"/>
    <s v="ALUMUNIUM PRINTED FOIL"/>
    <s v="UK17CA1878"/>
    <n v="18"/>
  </r>
  <r>
    <s v="321431961190"/>
    <s v="06AYEPS2518M1Z4 / FORTUNE SOURCING"/>
    <s v="05AAECM6380J1ZA / M/S M R HealthCare Pvt. Ltd."/>
    <s v="Gurugram / 122001"/>
    <s v="Ramnagar / 244715"/>
    <s v="321431961190 - 07/04/2022 22:42:00"/>
    <s v="FS/0004/2022-23"/>
    <d v="2022-04-04T00:00:00"/>
    <n v="45080"/>
    <n v="8114.4"/>
    <x v="10"/>
    <s v="LAMI TUBE"/>
    <s v="UK06CA7188"/>
    <n v="18"/>
  </r>
  <r>
    <s v="301432491041"/>
    <s v="05AAJFB5728K1ZA / Blize Printers 2022-23"/>
    <s v="05AAECM6380J1ZA / M.R. HEALTHCARE PVT. LTD."/>
    <s v="/ 247661"/>
    <s v="/ 244715"/>
    <s v="301432491041 - 06/04/2022 22:39:00"/>
    <s v="BP/22-23/0066"/>
    <d v="2022-04-06T00:00:00"/>
    <n v="43901.25"/>
    <n v="7902.22"/>
    <x v="8"/>
    <s v="Carton"/>
    <s v="UK18CA3698"/>
    <n v="17.999988610802653"/>
  </r>
  <r>
    <s v="301431533261"/>
    <s v="02AAACR6057R1Z1 / ROHAN PHARMA PVT LTD"/>
    <s v="05AAECM6380J1ZA / MRHEALTHCARE PVT LTD"/>
    <s v="BADDI / 173205"/>
    <s v="Ram Nagar / 244715"/>
    <s v="301431533261 - 04/04/2022 15:36:00"/>
    <s v="RPHP/0017/22-23"/>
    <d v="2022-04-04T00:00:00"/>
    <n v="245000"/>
    <n v="44100"/>
    <x v="5"/>
    <m/>
    <s v="UK18CA4767"/>
    <n v="18"/>
  </r>
  <r>
    <s v="311430707899"/>
    <s v="05ABNPA6018N2ZK / Manish Pharma"/>
    <s v="05AAECM6380J1ZA / MR HEALTHCARE PVT LTD"/>
    <s v="ROORKEE / 247667"/>
    <s v="KOSI ROAD,RAMNAGAR / 244715"/>
    <s v="311430707899 - 01/04/2022 16:38:00"/>
    <s v="MPR/22-23/0016"/>
    <d v="2022-04-01T00:00:00"/>
    <n v="1370685"/>
    <n v="246723.3"/>
    <x v="19"/>
    <s v="PARACETAMOL IP (VIVA-API)"/>
    <s v="UK04CB9936"/>
    <n v="18"/>
  </r>
  <r>
    <s v="471304847525"/>
    <s v="09AVWPT8411D1Z0 / MEDZY PHARMACEUTICAL"/>
    <s v="05AAECM6380J1ZA / M/S M R HealthCare Pvt. Ltd."/>
    <s v="RUDRAPUR / 263153"/>
    <s v="Ramnagar / 244715"/>
    <s v="471304847525 - 09/01/2023 12:13:00"/>
    <n v="69"/>
    <d v="2023-01-09T00:00:00"/>
    <n v="46500"/>
    <n v="8370"/>
    <x v="51"/>
    <m/>
    <s v="UK06CB0334"/>
    <n v="18"/>
  </r>
  <r>
    <s v="401307566882"/>
    <s v="09AVWPT8411D1Z0 / MEDZY PHARMACEUTICAL"/>
    <s v="05AAECM6380J1ZA / M/S M R HealthCare Pvt. Ltd."/>
    <s v="rudrapur / 263153"/>
    <s v="Ramnagar / 244715"/>
    <s v="401307566882 - 21/01/2023 20:07:00"/>
    <n v="73"/>
    <d v="2023-01-20T00:00:00"/>
    <n v="80250"/>
    <n v="14445"/>
    <x v="3"/>
    <m/>
    <s v="UK06CB8289"/>
    <n v="18"/>
  </r>
  <r>
    <s v="361555044270"/>
    <s v="05AABCA8568R1ZZ / ABS Mercantiles Pvt. Ltd."/>
    <s v="05AAECM6380J1ZA / M.R. HEALTHCARE PVT. LTD."/>
    <s v="UTTARAKHAND / 247667"/>
    <s v="Ram Nagar / 244715"/>
    <s v="361555044270 - 31/01/2023 23:28:00"/>
    <s v="ABSR/22-23/0705"/>
    <d v="2023-01-31T00:00:00"/>
    <n v="940000"/>
    <n v="169200"/>
    <x v="1"/>
    <s v="Itraconazole Pellets 40% -BP"/>
    <s v="UK17CA4303"/>
    <n v="18"/>
  </r>
  <r>
    <s v="301554952187"/>
    <s v="05AAJFB5728K1ZA / Blize Printers (2022-23)"/>
    <s v="05AAECM6380J1ZA / M.R. HEALTHCARE PVT. LTD."/>
    <s v="BHAGWANPUR / 247661"/>
    <s v="Ramnagar / 244715"/>
    <s v="301554952187 - 31/01/2023 23:28:00"/>
    <s v="BP/22-23/3461"/>
    <d v="2023-01-31T00:00:00"/>
    <n v="66985"/>
    <n v="12057.3"/>
    <x v="8"/>
    <s v="Carton"/>
    <s v="UK17CA4303"/>
    <n v="18"/>
  </r>
  <r>
    <s v="371552200498"/>
    <s v="05ABDPK4467D1ZX / Suresh Chandra Anil Kumar"/>
    <s v="05AAECM6380J1ZA / MR Healthcare Pvt. Ltd., Ramnagar"/>
    <s v="RAMNAGAR / 244715"/>
    <s v="Ramnagar / 244715"/>
    <s v="371552200498 - 24/01/2023 13:50:00"/>
    <n v="2459"/>
    <d v="2023-01-24T00:00:00"/>
    <n v="201348"/>
    <n v="36242.639999999999"/>
    <x v="52"/>
    <s v="Enamel Colour 20L"/>
    <s v="UK04CA5561"/>
    <n v="18"/>
  </r>
  <r>
    <s v="391551253978"/>
    <s v="05ALGPC9789H1ZQ / OM PHARMACEUTICALS"/>
    <s v="05AAECM6380J1ZA / M/S M R HealthCare Pvt. Ltd."/>
    <s v="Haridwar / 249402"/>
    <s v="Ramnagar / 244715"/>
    <s v="391551253978 - 21/01/2023 20:56:00"/>
    <s v="OP/00359/2022-23"/>
    <d v="2023-01-21T00:00:00"/>
    <n v="58800"/>
    <n v="10584"/>
    <x v="53"/>
    <s v="METHYL SALICYLATE IP"/>
    <s v="UK17CA4306"/>
    <n v="18"/>
  </r>
  <r>
    <s v="341551092321"/>
    <s v="06AAACD2877R1Z3 / DHANUKA LABORATORIES LIMITED"/>
    <s v="05AAECM6380J1ZA / M/S M R HealthCare Pvt. Ltd."/>
    <s v="Gurugram / 122004"/>
    <s v="Ramnagar / 244715"/>
    <s v="341551092321 - 21/01/2023 13:08:00"/>
    <s v="SI/GD/2223/0529"/>
    <d v="2023-01-21T00:00:00"/>
    <n v="3510000"/>
    <n v="631800"/>
    <x v="33"/>
    <s v="Cefpodoxime Proxetil IP Compacted"/>
    <s v="UK18CA3673"/>
    <n v="18"/>
  </r>
  <r>
    <s v="361547876087"/>
    <s v="05AAKFV1624K1Z2 / M/S VYALI INTERNATIONAL"/>
    <s v="05AAECM6380J1ZA / M/S M R HealthCare Pvt. Ltd."/>
    <s v="ROORKEE / 247667"/>
    <s v="Ramnagar / 244715"/>
    <s v="361547876087 - 14/01/2023 21:53:00"/>
    <s v="RRK/A001141"/>
    <d v="2023-01-13T00:00:00"/>
    <n v="95000"/>
    <n v="17100"/>
    <x v="1"/>
    <s v="H L MEDICINE"/>
    <s v="UK17CA4358"/>
    <n v="18"/>
  </r>
  <r>
    <s v="391547396076"/>
    <s v="05AAJFB5728K1ZA / Blize Printers (2022-23)"/>
    <s v="05AAECM6380J1ZA / M.R. HEALTHCARE PVT. LTD."/>
    <s v="BHAGWANPUR / 247661"/>
    <s v="Ramnagar / 244715"/>
    <s v="391547396076 - 13/01/2023 00:36:00"/>
    <s v="BP/22-23/3297"/>
    <d v="2023-01-12T00:00:00"/>
    <n v="46285.5"/>
    <n v="8331.4"/>
    <x v="8"/>
    <s v="Carton"/>
    <s v="UK18CA3698"/>
    <n v="18.000021605038295"/>
  </r>
  <r>
    <s v="371546946847"/>
    <s v="05CQEPR8480H1ZF / GLOBAL TONICS"/>
    <s v="05AAECM6380J1ZA / M.R HEALTHCARE"/>
    <s v="Haridwar,UTTARAKHAND-249410 / 249410"/>
    <s v="/ 244715"/>
    <s v="371546946847 - 11/01/2023 21:18:00"/>
    <s v="257/22-23"/>
    <d v="2023-01-11T00:00:00"/>
    <n v="35000"/>
    <n v="6300"/>
    <x v="54"/>
    <s v="AAYCELL 15"/>
    <s v="UK17CA4322"/>
    <n v="18"/>
  </r>
  <r>
    <s v="311544920494"/>
    <s v="05ABNPA6018N2ZK / Manish Pharma"/>
    <s v="05AAECM6380J1ZA / MR HEALTHCARE PVT LTD"/>
    <s v="ROORKEE / 247667"/>
    <s v="KOSI ROAD,RAMNAGAR / 244715"/>
    <s v="311544920494 - 06/01/2023 22:28:00"/>
    <s v="MPR/22-23/4234"/>
    <d v="2023-01-06T00:00:00"/>
    <n v="126813.38"/>
    <n v="22826.400000000001"/>
    <x v="1"/>
    <s v="CHLORZOXAZONE USP (MAKE-SARA)"/>
    <s v="UK18CA3698"/>
    <n v="17.999993376093279"/>
  </r>
  <r>
    <s v="391544122755"/>
    <s v="05AAJFB5728K1ZA / Blize Printers (2022-23)"/>
    <s v="05AAECM6380J1ZA / M.R. HEALTHCARE PVT. LTD."/>
    <s v="BHAGWANPUR / 247661"/>
    <s v="Ramnagar / 244715"/>
    <s v="391544122755 - 04/01/2023 21:18:00"/>
    <s v="BP/22-23/3217"/>
    <d v="2023-01-04T00:00:00"/>
    <n v="166016.5"/>
    <n v="29883"/>
    <x v="8"/>
    <s v="Carton"/>
    <s v="UK17CA4358"/>
    <n v="18.000018070492992"/>
  </r>
  <r>
    <s v="391554597716"/>
    <s v="05AAGFP5705R1ZS / Pagia Hardware"/>
    <s v="05AAECM6380J1ZA / M R HEALTH CARE P LTD"/>
    <s v="KASHIPUR / 244713"/>
    <s v="RAMNAGR / 244715"/>
    <s v="391554597716 - 30/01/2023 18:05:00"/>
    <n v="2332"/>
    <d v="2023-01-30T00:00:00"/>
    <n v="63460.800000000003"/>
    <n v="11422.94"/>
    <x v="55"/>
    <s v="M.S.Beam (72163200)"/>
    <s v="UK19CA0411"/>
    <n v="17.99999369689635"/>
  </r>
  <r>
    <s v="301542482696"/>
    <s v="02AAECS5320E1ZZ / P K PHARMATECH PRIVATE LIMITED"/>
    <s v="05AAECM6380J1ZA / M/S M R HealthCare Pvt. Ltd."/>
    <s v="Dharuhera / 123110"/>
    <s v="Ramnagar / 244715"/>
    <s v="301542482696 - 03/01/2023 14:51:00"/>
    <s v="328/22-23/B"/>
    <d v="2022-12-31T00:00:00"/>
    <n v="157500"/>
    <n v="28350"/>
    <x v="56"/>
    <s v="Ampicillin Trihydrate BP (Plain)"/>
    <s v="HR38T0499"/>
    <n v="18"/>
  </r>
  <r>
    <s v="341554959205"/>
    <s v="05ABNPA6018N2ZK / Manish Pharma"/>
    <s v="05AAECM6380J1ZA / MR HEALTHCARE PVT LTD"/>
    <s v="ROORKEE / 247667"/>
    <s v="KOSI ROAD,RAMNAGAR / 244715"/>
    <s v="341554959205 - 31/01/2023 23:28:00"/>
    <s v="MPR/22-23/4564"/>
    <d v="2023-01-31T00:00:00"/>
    <n v="2211105"/>
    <n v="397998.9"/>
    <x v="33"/>
    <s v="CEFIXIME T.H.COMPACTED IP (COVALENT)"/>
    <s v="UK17CA4303"/>
    <n v="18"/>
  </r>
  <r>
    <s v="301551739848"/>
    <s v="05ANTPS9188H1Z0 / G K PHARMA"/>
    <s v="05AAECM6380J1ZA / MR HEALTHCARE PVT LTD"/>
    <s v="ROORKEE / 247667"/>
    <s v="Ramnagar / 244715"/>
    <s v="301551739848 - 24/01/2023 00:01:00"/>
    <s v="GKUK/1589/22-23"/>
    <d v="2023-01-23T00:00:00"/>
    <n v="165700"/>
    <n v="29826"/>
    <x v="57"/>
    <m/>
    <s v="UK18CA3698"/>
    <n v="18"/>
  </r>
  <r>
    <s v="351548127035"/>
    <s v="05AAFCH1159K1ZL / HARIDWAR FOILS PRIVATE LIMITED"/>
    <s v="05AAECM6380J1ZA / M/S M R HealthCare Pvt. Ltd."/>
    <s v="Haridwar / 249402"/>
    <s v="Ramnagar / 244715"/>
    <s v="351548127035 - 14/01/2023 19:44:00"/>
    <n v="631"/>
    <d v="2023-01-14T00:00:00"/>
    <n v="45467"/>
    <n v="8184.06"/>
    <x v="20"/>
    <s v="BLISTER"/>
    <s v="UK17CA4358"/>
    <n v="18"/>
  </r>
  <r>
    <s v="341547771377"/>
    <s v="05ABNPA6018N2ZK / Manish Pharma"/>
    <s v="05AAECM6380J1ZA / MR HEALTHCARE PVT LTD"/>
    <s v="ROORKEE / 247667"/>
    <s v="KOSI ROAD,RAMNAGAR / 244715"/>
    <s v="341547771377 - 13/01/2023 23:04:00"/>
    <s v="MPR/22-23/4341"/>
    <d v="2023-01-13T00:00:00"/>
    <n v="291395.63"/>
    <n v="52451.22"/>
    <x v="1"/>
    <s v="CHLORZOXAZONE USP (MAKE-SARA)"/>
    <s v="UK18CA3698"/>
    <n v="18.0000022649619"/>
  </r>
  <r>
    <s v="381546939754"/>
    <s v="05AAJFB5728K1ZA / Blize Printers (2022-23)"/>
    <s v="05AAECM6380J1ZA / M.R. HEALTHCARE PVT. LTD."/>
    <s v="BHAGWANPUR / 247661"/>
    <s v="Ramnagar / 244715"/>
    <s v="381546939754 - 12/01/2023 00:20:00"/>
    <s v="BP/22-23/3285"/>
    <d v="2023-01-11T00:00:00"/>
    <n v="46437.5"/>
    <n v="8358.76"/>
    <x v="8"/>
    <s v="Carton"/>
    <s v="UK18CA3698"/>
    <n v="18.000021534320322"/>
  </r>
  <r>
    <s v="391546527044"/>
    <s v="05AABFO5340E1ZQ / OM SAI PHARMA PACK"/>
    <s v="05AAECM6380J1ZA / M.R. HEALTHCARE PVT. LTD."/>
    <s v="Uttarakhand / 249403"/>
    <s v="Nainital / 244715"/>
    <s v="391546527044 - 10/01/2023 20:54:00"/>
    <n v="11869"/>
    <d v="2023-01-10T00:00:00"/>
    <n v="99296.2"/>
    <n v="17873.32"/>
    <x v="9"/>
    <s v="LAMITUBE ROOPBAHAR ANTI PIMPLE GEL 20GM"/>
    <s v="UK17CA1878"/>
    <n v="18.00000402835154"/>
  </r>
  <r>
    <s v="341545711078"/>
    <s v="05ABAPK2139D1ZB / MOHIT TRADERS(22-23)"/>
    <s v="05AAECM6380J1ZA / M R Healthcare Pvt Ltd"/>
    <s v="KARORA / 203129"/>
    <s v="KASHIPUR / 244715"/>
    <s v="341545711078 - 09/01/2023 08:55:00"/>
    <s v="MT/02495/22-23"/>
    <d v="2023-01-08T00:00:00"/>
    <n v="220500"/>
    <n v="11025"/>
    <x v="15"/>
    <s v="Sugar"/>
    <s v="UP75AT8783"/>
    <n v="5"/>
  </r>
  <r>
    <s v="331542552620"/>
    <s v="05AAKFV1624K1Z2 / M/S VYALI INTERNATIONAL"/>
    <s v="05AAECM6380J1ZA / M/S M R HealthCare Pvt. Ltd."/>
    <s v="ROORKEE / 247667"/>
    <s v="Ramnagar / 244715"/>
    <s v="331542552620 - 01/01/2023 00:38:00"/>
    <s v="RRK/A001106"/>
    <d v="2022-12-31T00:00:00"/>
    <n v="285000"/>
    <n v="51300"/>
    <x v="1"/>
    <s v="H L MEDICINE"/>
    <s v="UK18CA3698"/>
    <n v="18"/>
  </r>
  <r>
    <s v="301553761500"/>
    <s v="05ANTPS9188H1Z0 / G K PHARMA"/>
    <s v="05AAECM6380J1ZA / MR HEALTHCARE PVT LTD"/>
    <s v="ROORKEE / 247667"/>
    <s v="Ramnagar / 244715"/>
    <s v="301553761500 - 28/01/2023 23:33:00"/>
    <s v="GKUK/1617/22-23"/>
    <d v="2023-01-28T00:00:00"/>
    <n v="93800"/>
    <n v="16884"/>
    <x v="5"/>
    <m/>
    <s v="UK18CA3698"/>
    <n v="18"/>
  </r>
  <r>
    <s v="321551820502"/>
    <s v="06AABCF5740N1ZG / Alutech Packaging Private Limited"/>
    <s v="05AAECM6380J1ZA / M R Healthcare Pvt Ltd"/>
    <s v="Bahadurgarh / 124507"/>
    <s v="NANITAL / 244715"/>
    <s v="321551820502 - 23/01/2023 16:11:00"/>
    <s v="APPL/22-23/6576"/>
    <d v="2023-01-23T00:00:00"/>
    <n v="584231.69999999995"/>
    <n v="105161.71"/>
    <x v="14"/>
    <s v="Aluminium Foil"/>
    <s v="UK18CA6730"/>
    <n v="18.00000068465987"/>
  </r>
  <r>
    <s v="331548784186"/>
    <s v="05AAJFB5728K1ZA / Blize Printers (2022-23)"/>
    <s v="05AAECM6380J1ZA / M.R. HEALTHCARE PVT. LTD."/>
    <s v="BHAGWANPUR / 247661"/>
    <s v="Ramnagar / 244715"/>
    <s v="331548784186 - 16/01/2023 23:10:00"/>
    <s v="BP/22-23/3332"/>
    <d v="2023-01-16T00:00:00"/>
    <n v="53048.6"/>
    <n v="9548.74"/>
    <x v="8"/>
    <s v="Carton"/>
    <s v="Ship"/>
    <n v="17.999984919488924"/>
  </r>
  <r>
    <s v="361548106318"/>
    <s v="05ALGPC9789H1ZQ / OM PHARMACEUTICALS"/>
    <s v="05AAECM6380J1ZA / M/S M R HealthCare Pvt. Ltd."/>
    <s v="Haridwar / 249402"/>
    <s v="Ramnagar / 244715"/>
    <s v="361548106318 - 14/01/2023 19:44:00"/>
    <s v="op/00354/2022-23"/>
    <d v="2023-01-14T00:00:00"/>
    <n v="96000"/>
    <n v="17280"/>
    <x v="50"/>
    <s v="ISO PROPYL ALCOHOL IP"/>
    <s v="UK17CA4358"/>
    <n v="18"/>
  </r>
  <r>
    <s v="371547983207"/>
    <s v="06AYEPS2518M1Z4 / FORTUNE SOURCING"/>
    <s v="05AAECM6380J1ZA / M/S M R HealthCare Pvt. Ltd."/>
    <s v="GURGAON / 122001"/>
    <s v="Ramnagar / 244715"/>
    <s v="371547983207 - 14/01/2023 07:13:00"/>
    <s v="fs/0291/2022-23"/>
    <d v="2023-01-11T00:00:00"/>
    <n v="65226.3"/>
    <n v="11740.73"/>
    <x v="10"/>
    <s v="lami tube"/>
    <s v="UK06CB1942"/>
    <n v="17.999993867504365"/>
  </r>
  <r>
    <s v="331546934415"/>
    <s v="06AYEPS2518M1Z4 / FORTUNE SOURCING"/>
    <s v="05AAECM6380J1ZA / M/S M R HealthCare Pvt. Ltd."/>
    <s v="Gurugram / 122001"/>
    <s v="Ramnagar / 244715"/>
    <s v="331546934415 - 12/01/2023 20:58:00"/>
    <s v="FS/0291/2022-23"/>
    <d v="2023-01-11T00:00:00"/>
    <n v="65226.3"/>
    <n v="11740.73"/>
    <x v="10"/>
    <s v="LAMI TUBE"/>
    <s v="UK06CA7296"/>
    <n v="17.999993867504365"/>
  </r>
  <r>
    <s v="361545805067"/>
    <s v="05AAJFB5728K1ZA / Blize Printers (2022-23)"/>
    <s v="05AAECM6380J1ZA / M.R. HEALTHCARE PVT. LTD."/>
    <s v="BHAGWANPUR / 247661"/>
    <s v="Ramnagar / 244715"/>
    <s v="361545805067 - 09/01/2023 23:09:00"/>
    <s v="BP/22-23/3247"/>
    <d v="2023-01-06T00:00:00"/>
    <n v="107539.75"/>
    <n v="19357.16"/>
    <x v="8"/>
    <s v="Carton"/>
    <s v="UK18CA3698"/>
    <n v="18.000004649443579"/>
  </r>
  <r>
    <s v="351544059761"/>
    <s v="05BTNPD9977N2ZP / MUDRA PRESS"/>
    <s v="05AAECM6380J1ZA / M/S M R HealthCare Pvt. Ltd."/>
    <s v="Dehradun / 248001"/>
    <s v="Ramnagar / 244715"/>
    <s v="351544059761 - 04/01/2023 19:30:00"/>
    <s v="MP/22-23/270"/>
    <d v="2023-01-04T00:00:00"/>
    <n v="154987.5"/>
    <n v="27897.759999999998"/>
    <x v="4"/>
    <m/>
    <s v="UK17CA4358"/>
    <n v="18.000006452133235"/>
  </r>
  <r>
    <s v="341546530906"/>
    <s v="05CQEPR8480H1ZF / GLOBAL TONICS"/>
    <s v="05AAECM6380J1ZA / M.R HEALTHCARE"/>
    <s v="Haridwar,UTTARAKHAND-249410 / 249410"/>
    <s v="/ 244715"/>
    <s v="341546530906 - 10/01/2023 22:52:00"/>
    <s v="254/22-23"/>
    <d v="2023-01-10T00:00:00"/>
    <n v="47700"/>
    <n v="8586"/>
    <x v="58"/>
    <s v="METHYLCOBALAMIN JP"/>
    <s v="UK17CA1878"/>
    <n v="18"/>
  </r>
  <r>
    <s v="281541111204"/>
    <s v="27AAFCS9959Q1Z4 / SNEHA MEDICARE PVT LTD"/>
    <s v="05AAECM6380J1ZA / MR HEALTHCARE PVTLTD"/>
    <s v="BHIWANDI / 421302"/>
    <s v="DISTNAINITAL, / 244715"/>
    <s v="281541111204 - 30/01/2023 15:07:00"/>
    <s v="H08484"/>
    <d v="2023-01-28T00:00:00"/>
    <n v="156800"/>
    <n v="28224"/>
    <x v="38"/>
    <m/>
    <s v="hr55y7458"/>
    <n v="18"/>
  </r>
  <r>
    <s v="261535006176"/>
    <s v="27AAFCS9959Q1Z4 / SNEHA MEDICARE PVT LTD"/>
    <s v="05AAECM6380J1ZA / MR HEALTHCARE PVTLTD"/>
    <s v="BHIWANDI / 421302"/>
    <s v="DISTNAINITAL, / 244715"/>
    <s v="261535006176 - 17/01/2023 15:53:00"/>
    <s v="H08179"/>
    <d v="2023-01-14T00:00:00"/>
    <n v="72000"/>
    <n v="12960"/>
    <x v="41"/>
    <m/>
    <s v="HR38W4047"/>
    <n v="18"/>
  </r>
  <r>
    <s v="201529307074"/>
    <s v="27AAFCS9959Q1Z4 / SNEHA MEDICARE PVT LTD"/>
    <s v="05AAECM6380J1ZA / MR HEALTHCARE PVTLTD"/>
    <s v="BHIWANDI / 421302"/>
    <s v="DISTNAINITAL, / 244715"/>
    <s v="201529307074 - 08/01/2023 15:10:00"/>
    <s v="H07813"/>
    <d v="2023-01-02T00:00:00"/>
    <n v="65000"/>
    <n v="11700"/>
    <x v="41"/>
    <m/>
    <s v="UK04CB9245"/>
    <n v="18"/>
  </r>
  <r>
    <s v="271541071710"/>
    <s v="27AAFCS9959Q1Z4 / SNEHA MEDICARE PVT LTD"/>
    <s v="05AAECM6380J1ZA / MR HEALTHCARE PVTLTD"/>
    <s v="BHIWANDI / 421302"/>
    <s v="DISTNAINITAL, / 244715"/>
    <s v="271541071710 - 30/01/2023 15:07:00"/>
    <s v="H08481"/>
    <d v="2023-01-28T00:00:00"/>
    <n v="222500"/>
    <n v="40050"/>
    <x v="40"/>
    <m/>
    <s v="hr55y7458"/>
    <n v="18"/>
  </r>
  <r>
    <s v="271536088949"/>
    <s v="27AADCV0444P1ZZ / VIRAJ PHARMACEUTICALS PVTLTD"/>
    <s v="05AAECM6380J1ZA / M R HEALTHCARE PVTLTD"/>
    <s v="Bhiwandi / 421302"/>
    <s v="DIST-NAINITAL / 244715"/>
    <s v="271536088949 - 20/01/2023 18:28:00"/>
    <n v="2037"/>
    <d v="2023-01-17T00:00:00"/>
    <n v="83413.899999999994"/>
    <n v="15015"/>
    <x v="38"/>
    <m/>
    <s v="HR38T0499"/>
    <n v="18.00059702279836"/>
  </r>
  <r>
    <s v="251536666187"/>
    <s v="27AALFP6037D1Z7 / M/S PARAM PHARMA"/>
    <s v="05AAECM6380J1ZA / M/S M R HealthCare Pvt. Ltd."/>
    <s v="BHIWANDI / 421302"/>
    <s v="UTTARAKHAND / 244715"/>
    <s v="251536666187 - 20/01/2023 18:24:00"/>
    <n v="553"/>
    <d v="2023-01-18T00:00:00"/>
    <n v="53500"/>
    <n v="2675"/>
    <x v="33"/>
    <s v="H L MEDICINE"/>
    <s v="UK18TA0659"/>
    <n v="5"/>
  </r>
  <r>
    <s v="201532472174"/>
    <s v="27AAECA1503D1ZE / ABIL CHEMPHARMA PVT. LTD."/>
    <s v="05AAECM6380J1ZA / M.R.HEALTH CARE PVT.LTD.,"/>
    <s v="THANE / 421302"/>
    <s v="Nainital / 244715"/>
    <s v="201532472174 - 13/01/2023 19:01:00"/>
    <s v="M/2022-23/002752"/>
    <d v="2023-01-09T00:00:00"/>
    <n v="264000"/>
    <n v="47520"/>
    <x v="57"/>
    <s v="FLAVOXATE HYDROCHLORIDE"/>
    <s v="UK18CA4773"/>
    <n v="18"/>
  </r>
  <r>
    <s v="221530271582"/>
    <s v="27AAIFV1964C1Z4 / VISION PLUS HEALTH CARE"/>
    <s v="05AAECM6380J1ZA / M/S M R HealthCare Pvt. Ltd."/>
    <s v="Aurangabad / 431001"/>
    <s v="KASHIPUR / 244713"/>
    <s v="221530271582 - 04/01/2023 14:40:00"/>
    <s v="DN00007"/>
    <d v="2023-01-04T00:00:00"/>
    <n v="115497"/>
    <n v="13859.64"/>
    <x v="59"/>
    <s v="STOMGUT"/>
    <s v="UK18CA5709"/>
    <n v="12"/>
  </r>
  <r>
    <s v="231529306294"/>
    <s v="27AAFCS9959Q1Z4 / SNEHA MEDICARE PVT LTD"/>
    <s v="05AAECM6380J1ZA / MR HEALTHCARE PVTLTD"/>
    <s v="BHIWANDI / 421302"/>
    <s v="DISTNAINITAL, / 244715"/>
    <s v="231529306294 - 04/01/2023 11:40:00"/>
    <s v="H07812"/>
    <d v="2023-01-02T00:00:00"/>
    <n v="97500"/>
    <n v="17550"/>
    <x v="41"/>
    <m/>
    <s v="UK18CA3698"/>
    <n v="18"/>
  </r>
  <r>
    <s v="201527444104"/>
    <s v="27AABFC8539M1Z0 / CENTRAL DRUG HOUSE"/>
    <s v="05AAECM6380J1ZA / M.R.HEALTHCARE PVT.LTD."/>
    <s v="Bhiwandi / 421302"/>
    <s v="Nainital / 244715"/>
    <s v="201527444104 - 02/01/2023 15:36:00"/>
    <s v="CDH1982"/>
    <d v="2022-12-28T00:00:00"/>
    <n v="53794"/>
    <n v="9682.92"/>
    <x v="60"/>
    <s v="VITAMIN B1 HCL [THIAMINE HCL]"/>
    <s v="UK18CA4303"/>
    <n v="18"/>
  </r>
  <r>
    <s v="281544365473"/>
    <s v="27AAACU6175D1ZC / UNNATI PHARMACEUTICALS PVT LTD"/>
    <s v="05AAECM6380J1ZA / M R Healthcare Pvt Ltd"/>
    <s v="Dist Thane / 421302"/>
    <s v="Ramnagar / 244715"/>
    <s v="281544365473 - 04/02/2023 23:26:00"/>
    <s v="MUMB007176"/>
    <d v="2023-02-03T00:00:00"/>
    <n v="80338.27"/>
    <n v="14460.89"/>
    <x v="30"/>
    <s v="RAMIPRIL IP"/>
    <s v="uk07pa2505"/>
    <n v="18.0000017426315"/>
  </r>
  <r>
    <s v="261549516885"/>
    <s v="27AAEPM1479M1Z9 / MONARCH PHARMACHEM"/>
    <s v="05AAECM6380J1ZA / M R Healthcare Pvt Ltd"/>
    <s v="BHIWANDI / 421302"/>
    <s v="UTTARAKHAND / 244715"/>
    <s v="261549516885 - 17/02/2023 17:16:00"/>
    <n v="3966"/>
    <d v="2023-02-15T00:00:00"/>
    <n v="60060"/>
    <n v="10810.8"/>
    <x v="40"/>
    <s v="TELMISARTAN IP"/>
    <s v="UK18CA4767"/>
    <n v="18"/>
  </r>
  <r>
    <s v="221545810002"/>
    <s v="27AACPA0543Q1ZS / KHUSHI CHEM"/>
    <s v="05AAECM6380J1ZA / M R Healthcare Pvt Ltd"/>
    <s v="DIST.THANE / 421302"/>
    <s v="Nainital / 244715"/>
    <s v="221545810002 - 08/02/2023 20:21:00"/>
    <n v="788"/>
    <d v="2023-02-07T00:00:00"/>
    <n v="414414"/>
    <n v="74594.52"/>
    <x v="1"/>
    <m/>
    <m/>
    <n v="18"/>
  </r>
  <r>
    <s v="241547550975"/>
    <s v="27AABCA3876G1ZN / AQUATIC REMEDIES LIMITED"/>
    <s v="05AAECM6380J1ZA / M.R. HEALTHCARE PVT.LTD."/>
    <s v="THANE / 421302"/>
    <s v="DIST NAINITAL / 244715"/>
    <s v="241547550975 - 12/02/2023 12:12:00"/>
    <s v="2022-23/G/5456"/>
    <d v="2023-02-11T00:00:00"/>
    <n v="278750"/>
    <n v="50175"/>
    <x v="26"/>
    <s v="P.V.P.K. 30"/>
    <s v="UK18CA4767"/>
    <n v="18"/>
  </r>
  <r>
    <s v="251545143460"/>
    <s v="27AAFPP9715L1Z4 / ATMAN PHARMACEUTICALS"/>
    <s v="05AAECM6380J1ZA / M.R.HEALTHCARE PVT. LTD."/>
    <s v="DIST THANE / 421302"/>
    <s v="Nainital / 244715"/>
    <s v="251545143460 - 08/02/2023 20:21:00"/>
    <s v="SAL/1907"/>
    <d v="2023-02-06T00:00:00"/>
    <n v="207500"/>
    <n v="37350"/>
    <x v="29"/>
    <s v="PYRANTEL PAMOATE USP"/>
    <m/>
    <n v="18"/>
  </r>
  <r>
    <s v="241545286168"/>
    <s v="27AABFF5289R1ZM / FARMA FUSION"/>
    <s v="05AAECM6380J1ZA / M R HEALTHCARE PRIVATE LIMITED"/>
    <s v="BHIWANDI / 421302"/>
    <s v="Ramnagar / 244715"/>
    <s v="241545286168 - 08/02/2023 18:47:00"/>
    <n v="225445"/>
    <d v="2023-02-06T00:00:00"/>
    <n v="77538.63"/>
    <n v="13956.95"/>
    <x v="1"/>
    <m/>
    <s v="UK18TA0659"/>
    <n v="17.999995615088892"/>
  </r>
  <r>
    <s v="261546164757"/>
    <s v="27AAXFP8362R1ZU / PHARMACARE INTERNATIONAL"/>
    <s v="05AAECM6380J1ZA / M.R.HEALTHCARE PVT.LTD"/>
    <s v="PANCHAKULA / 133302"/>
    <s v="DIST NAINITAL / 244715"/>
    <s v="261546164757 - 08/02/2023 15:27:00"/>
    <s v="22-23/0542"/>
    <d v="2023-02-08T00:00:00"/>
    <n v="1067500"/>
    <n v="192150"/>
    <x v="32"/>
    <s v="AMOXYCILLIN TRIHYDRATE"/>
    <s v="HR38AD7145"/>
    <n v="18"/>
  </r>
  <r>
    <s v="341560627916"/>
    <s v="05ABAFR8373C1ZB / RADIANT PRINTO PACK"/>
    <s v="05AAECM6380J1ZA / M/S M R HealthCare Pvt. Ltd."/>
    <s v="Haridwar / 247666"/>
    <s v="Ramnagar / 244715"/>
    <s v="341560627916 - 13/02/2023 22:51:00"/>
    <s v="RPP/0679/22-23"/>
    <d v="2023-02-13T00:00:00"/>
    <n v="78654.3"/>
    <n v="12818.78"/>
    <x v="23"/>
    <m/>
    <s v="UK18CA3698"/>
    <n v="16.297621363358392"/>
  </r>
  <r>
    <s v="311560568294"/>
    <s v="05AAJFB5728K1ZA / Blize Printers (2022-23)"/>
    <s v="05AAECM6380J1ZA / M.R. HEALTHCARE PVT. LTD."/>
    <s v="BHAGWANPUR / 247661"/>
    <s v="Ramnagar / 244715"/>
    <s v="311560568294 - 13/02/2023 22:51:00"/>
    <s v="BP/22-23/3605"/>
    <d v="2023-02-13T00:00:00"/>
    <n v="46195"/>
    <n v="8315.1"/>
    <x v="8"/>
    <s v="Carton"/>
    <s v="UK18CA3698"/>
    <n v="18"/>
  </r>
  <r>
    <s v="351557369251"/>
    <s v="02AAACR6057R1Z1 / ROHAN PHARMA PVT LTD"/>
    <s v="05AAECM6380J1ZA / MRHEALTHCARE PVT LTD"/>
    <s v="BADDI / 173205"/>
    <s v="Ram Nagar / 244715"/>
    <s v="351557369251 - 06/02/2023 18:15:00"/>
    <s v="RPHP/3319/22-23"/>
    <d v="2023-02-06T00:00:00"/>
    <n v="30000"/>
    <n v="5400"/>
    <x v="5"/>
    <s v="REDT/CT - 0"/>
    <s v="UK06CB7787"/>
    <n v="18"/>
  </r>
  <r>
    <s v="311556295319"/>
    <s v="05AASFR5565R1Z4 / M/S ROORKEE FOIL"/>
    <s v="05AAECM6380J1ZA / M/S M R HealthCare Pvt. Ltd."/>
    <s v="Haridwar / 247667"/>
    <s v="Ramnagar / 244715"/>
    <s v="311556295319 - 03/02/2023 22:40:00"/>
    <s v="RK/22-23/2341"/>
    <d v="2023-02-02T00:00:00"/>
    <n v="43323.05"/>
    <n v="7798.14"/>
    <x v="20"/>
    <s v="BLISTER FOIL PRINTED"/>
    <s v="UK18CA3698"/>
    <n v="17.999979225839361"/>
  </r>
  <r>
    <s v="311556584527"/>
    <s v="05AAJFB5728K1ZA / Blize Printers (2022-23)"/>
    <s v="05AAECM6380J1ZA / M.R. HEALTHCARE PVT. LTD."/>
    <s v="BHAGWANPUR / 247661"/>
    <s v="Ramnagar / 244715"/>
    <s v="311556584527 - 03/02/2023 22:40:00"/>
    <s v="BP/22-23/3499"/>
    <d v="2023-02-03T00:00:00"/>
    <n v="128677.5"/>
    <n v="23161.96"/>
    <x v="8"/>
    <s v="Carton"/>
    <s v="UK18CA3698"/>
    <n v="18.000007771366402"/>
  </r>
  <r>
    <s v="341563364924"/>
    <s v="05ANTPS9188H1Z0 / G K PHARMA"/>
    <s v="05AAECM6380J1ZA / MR HEALTHCARE PVT LTD"/>
    <s v="ROORKEE / 247667"/>
    <s v="Ramnagar / 244715"/>
    <s v="341563364924 - 20/02/2023 23:33:00"/>
    <s v="GKUK/1742/22-23"/>
    <d v="2023-02-20T00:00:00"/>
    <n v="41700"/>
    <n v="7506"/>
    <x v="1"/>
    <m/>
    <s v="UK18CA3698"/>
    <n v="18"/>
  </r>
  <r>
    <s v="331563414031"/>
    <s v="05ADDPT3457G1ZI / AVA PACKAGING"/>
    <s v="05AAECM6380J1ZA / MR HEALTHCARE PVT LTD"/>
    <s v="ROORKEE / 247667"/>
    <s v="/ 244715"/>
    <s v="331563414031 - 20/02/2023 23:33:00"/>
    <s v="AVAP/22-23/979"/>
    <d v="2023-02-20T00:00:00"/>
    <n v="77820"/>
    <n v="14007.6"/>
    <x v="61"/>
    <m/>
    <s v="UK18CA3698"/>
    <n v="18"/>
  </r>
  <r>
    <s v="341566604137"/>
    <s v="05AAKFV1624K1Z2 / M/S VYALI INTERNATIONAL"/>
    <s v="05AAECM6380J1ZA / M/S M R HealthCare Pvt. Ltd."/>
    <s v="ROORKEE / 247667"/>
    <s v="Ramnagar / 244715"/>
    <s v="341566604137 - 28/02/2023 00:49:00"/>
    <s v="RRK/A001279"/>
    <d v="2023-02-27T00:00:00"/>
    <n v="259500"/>
    <n v="46710"/>
    <x v="1"/>
    <s v="H L MEDICINE"/>
    <s v="UK17CA4322"/>
    <n v="18"/>
  </r>
  <r>
    <s v="351565018048"/>
    <s v="05AAGFH2542C1ZY / HIMALAYAN CAPSCON INDUSTRIES"/>
    <s v="05AAECM6380J1ZA / M R Healthcare Pvt Ltd"/>
    <s v="Selaqui / 248011"/>
    <s v="Ramnagar / 244715"/>
    <s v="351565018048 - 23/02/2023 16:50:00"/>
    <s v="HCI/22-23/0548"/>
    <d v="2023-02-23T00:00:00"/>
    <n v="216000"/>
    <n v="38880"/>
    <x v="17"/>
    <s v="HDPE 60ml Dry Syrup Bottle (11.50Gm)"/>
    <s v="UK06CA2565"/>
    <n v="18"/>
  </r>
  <r>
    <s v="331564577784"/>
    <s v="05AAJFB5728K1ZA / Blize Printers (2022-23)"/>
    <s v="05AAECM6380J1ZA / M.R. HEALTHCARE PVT. LTD."/>
    <s v="BHAGWANPUR / 247661"/>
    <s v="Ramnagar / 244715"/>
    <s v="331564577784 - 22/02/2023 22:53:00"/>
    <s v="BP/22-23/3697"/>
    <d v="2023-02-21T00:00:00"/>
    <n v="55060.2"/>
    <n v="9910.82"/>
    <x v="8"/>
    <s v="Carton"/>
    <s v="UK18CA3698"/>
    <n v="17.99997094089742"/>
  </r>
  <r>
    <s v="371563964327"/>
    <s v="06AYEPS2518M1Z4 / FORTUNE SOURCING"/>
    <s v="05AAECM6380J1ZA / M/S M R HealthCare Pvt. Ltd."/>
    <s v="Gurugram / 122001"/>
    <s v="Ramnagar / 244715"/>
    <s v="371563964327 - 21/02/2023 22:37:00"/>
    <s v="FS/0335/2022-23"/>
    <d v="2023-02-21T00:00:00"/>
    <n v="22407.200000000001"/>
    <n v="4033.3"/>
    <x v="10"/>
    <s v="LAMI TUBE"/>
    <m/>
    <n v="18.000017851404905"/>
  </r>
  <r>
    <s v="361562555244"/>
    <s v="05ABAFR8373C1ZB / RADIANT PRINTO PACK"/>
    <s v="05AAECM6380J1ZA / M/S M R HealthCare Pvt. Ltd."/>
    <s v="Haridwar / 247666"/>
    <s v="Ramnagar / 244715"/>
    <s v="361562555244 - 17/02/2023 22:29:00"/>
    <s v="RPP/0697/22-23"/>
    <d v="2023-02-17T00:00:00"/>
    <n v="110664.5"/>
    <n v="19919.62"/>
    <x v="23"/>
    <m/>
    <s v="UK17CA4303"/>
    <n v="18.000009036321494"/>
  </r>
  <r>
    <s v="331562558695"/>
    <s v="05AAUCS2953B1ZA / VIVA PACK PVT. LTD."/>
    <s v="05AAECM6380J1ZA / M.R HEALTHCARE PVT LTD."/>
    <s v="Roorkee / 247667"/>
    <s v="UTTARAKHAND / 244715"/>
    <s v="331562558695 - 17/02/2023 17:39:00"/>
    <s v="GST-2223-2127"/>
    <d v="2023-02-17T00:00:00"/>
    <n v="44787.6"/>
    <n v="8061.76"/>
    <x v="17"/>
    <s v="PET BOTTLES 60 ML10 GM RD AMB 936"/>
    <s v="UK17CA4303"/>
    <n v="17.999982137913172"/>
  </r>
  <r>
    <s v="361561948487"/>
    <s v="06AYEPS2518M1Z4 / FORTUNE SOURCING"/>
    <s v="05AAECM6380J1ZA / M/S M R HealthCare Pvt. Ltd."/>
    <s v="Gurugram / 122001"/>
    <s v="Ramnagar / 244715"/>
    <s v="361561948487 - 16/02/2023 23:38:00"/>
    <s v="FS/0330/2022-23"/>
    <d v="2023-02-16T00:00:00"/>
    <n v="22152.400000000001"/>
    <n v="3987.43"/>
    <x v="10"/>
    <s v="LAMI TUBE"/>
    <m/>
    <n v="17.999990971632869"/>
  </r>
  <r>
    <s v="361561910811"/>
    <s v="05ABNPA6018N2ZK / Manish Pharma"/>
    <s v="05AAECM6380J1ZA / MR HEALTHCARE PVT LTD"/>
    <s v="ROORKEE / 247667"/>
    <s v="KOSI ROAD,RAMNAGAR / 244715"/>
    <s v="361561910811 - 16/02/2023 22:28:00"/>
    <s v="MPR/22-23/4829"/>
    <d v="2023-02-16T00:00:00"/>
    <n v="1825912.5"/>
    <n v="328664.26"/>
    <x v="33"/>
    <s v="CEFIXIME T.H.COMPACTED IP (COVALENT)"/>
    <s v="UK17CA4322"/>
    <n v="18.00000054767137"/>
  </r>
  <r>
    <s v="331561158397"/>
    <s v="05FYDPS0716P2ZZ / PHARMA PACK"/>
    <s v="05AAECM6380J1ZA / M/S M R HealthCare Pvt. Ltd."/>
    <s v="Haridwar / 247667"/>
    <s v="Ramnagar / 244715"/>
    <s v="331561158397 - 14/02/2023 22:56:00"/>
    <s v="PP/441"/>
    <d v="2023-02-14T00:00:00"/>
    <n v="192841.1"/>
    <n v="34711.4"/>
    <x v="47"/>
    <s v="PACKING MATERIAL"/>
    <s v="UK17CA4358"/>
    <n v="18.000001037123308"/>
  </r>
  <r>
    <s v="321561067876"/>
    <s v="05AAJFB5728K1ZA / Blize Printers (2022-23)"/>
    <s v="05AAECM6380J1ZA / M.R. HEALTHCARE PVT. LTD."/>
    <s v="BHAGWANPUR / 247661"/>
    <s v="Ramnagar / 244715"/>
    <s v="321561067876 - 14/02/2023 22:56:00"/>
    <s v="BP/22-23/3611"/>
    <d v="2023-02-14T00:00:00"/>
    <n v="56865.4"/>
    <n v="10235.780000000001"/>
    <x v="8"/>
    <s v="Carton"/>
    <s v="UK17CA4358"/>
    <n v="18.000014068308673"/>
  </r>
  <r>
    <s v="391561172957"/>
    <s v="05ABSFA7387F1Z0 / AASTHA MEDI SOLUTIONS"/>
    <s v="05AAECM6380J1ZA / M/S M R HealthCare Pvt. Ltd."/>
    <s v="Haridwar / 247667"/>
    <s v="Ramnagar / 244715"/>
    <s v="391561172957 - 14/02/2023 19:53:00"/>
    <n v="1271"/>
    <d v="2023-02-14T00:00:00"/>
    <n v="13000"/>
    <n v="2340"/>
    <x v="11"/>
    <s v="PRINTED ROLLER"/>
    <s v="UK17CA4358"/>
    <n v="18"/>
  </r>
  <r>
    <s v="381561172066"/>
    <s v="05ABSFA7387F1Z0 / AASTHA MEDI SOLUTIONS"/>
    <s v="05AAECM6380J1ZA / M/S M R HealthCare Pvt. Ltd."/>
    <s v="Haridwar / 247667"/>
    <s v="Ramnagar / 244715"/>
    <s v="381561172066 - 14/02/2023 19:51:00"/>
    <n v="1270"/>
    <d v="2023-02-14T00:00:00"/>
    <n v="38903.1"/>
    <n v="7002.56"/>
    <x v="14"/>
    <s v="PRINTED ALUMINUM FOIL"/>
    <s v="UK17CA4358"/>
    <n v="18.000005140978484"/>
  </r>
  <r>
    <s v="341558950499"/>
    <s v="05AABCA8568R1ZZ / ABS Mercantiles Pvt. Ltd."/>
    <s v="05AAECM6380J1ZA / M.R. HEALTHCARE PVT. LTD."/>
    <s v="UTTARAKHAND / 247667"/>
    <s v="Ram Nagar / 244715"/>
    <s v="341558950499 - 10/02/2023 00:03:00"/>
    <s v="ABSR/22-23/0713"/>
    <d v="2023-02-09T00:00:00"/>
    <n v="252247.5"/>
    <n v="45404"/>
    <x v="1"/>
    <s v="Itraconazole Pellets 22% BP"/>
    <s v="UK17CA4322"/>
    <n v="17.999781960177998"/>
  </r>
  <r>
    <s v="341557036633"/>
    <s v="05ACIFS4644N1ZN / SIDDHARTH DISTRIBUTORS"/>
    <s v="05AAECM6380J1ZA / M.R. HEALTHCARE PVT. LTD."/>
    <s v="Moti Bazar Dehradun / 248001"/>
    <s v="Ramnagar / 244715"/>
    <s v="341557036633 - 08/02/2023 19:47:00"/>
    <s v="SD/2022-23/1651"/>
    <d v="2023-02-04T00:00:00"/>
    <n v="48789"/>
    <n v="8150.72"/>
    <x v="62"/>
    <s v="LA811-250No Steam Indicator Strip"/>
    <s v="UK04CA3196"/>
    <n v="16.706060792391728"/>
  </r>
  <r>
    <s v="301558365208"/>
    <s v="05AAZFP6857H1ZF / M/S PARAS PACKAGING INDUSTRIES"/>
    <s v="05AAECM6380J1ZA / M/S M R HealthCare Pvt. Ltd."/>
    <s v="Udham Singh Nagar / 244713"/>
    <s v="Ramnagar / 244715"/>
    <s v="301558365208 - 08/02/2023 13:14:00"/>
    <n v="628"/>
    <d v="2023-02-08T00:00:00"/>
    <n v="51012.5"/>
    <n v="9182.26"/>
    <x v="18"/>
    <m/>
    <s v="UK18CA6433"/>
    <n v="18.000019603038471"/>
  </r>
  <r>
    <s v="391558006250"/>
    <s v="02AAACR6057R1Z1 / ROHAN PHARMA PVT LTD"/>
    <s v="05AAECM6380J1ZA / MRHEALTHCARE PVT LTD"/>
    <s v="BADDI / 173205"/>
    <s v="Ram Nagar / 244715"/>
    <s v="391558006250 - 08/02/2023 11:17:00"/>
    <s v="RPHP/3344/22-23"/>
    <d v="2023-02-07T00:00:00"/>
    <n v="40000"/>
    <n v="7200"/>
    <x v="5"/>
    <s v="ORANGE/ORANGE - 0"/>
    <s v="UK06CB7787"/>
    <n v="18"/>
  </r>
  <r>
    <s v="321557986572"/>
    <s v="05ABIPT0216G1ZY / M/S Gautam Minirals Chemicals"/>
    <s v="05AAECM6380J1ZA / M/S M R HealthCare Pvt. Ltd."/>
    <s v="Rudarpur / 263153"/>
    <s v="Ramnagar / 244715"/>
    <s v="321557986572 - 07/02/2023 15:51:00"/>
    <s v="22-23/442"/>
    <d v="2023-02-07T00:00:00"/>
    <n v="119850"/>
    <n v="14382"/>
    <x v="16"/>
    <m/>
    <s v="UK06CA8629"/>
    <n v="12"/>
  </r>
  <r>
    <s v="351557655080"/>
    <s v="05AAJFB5728K1ZA / Blize Printers (2022-23)"/>
    <s v="05AAECM6380J1ZA / M.R. HEALTHCARE PVT. LTD."/>
    <s v="BHAGWANPUR / 247661"/>
    <s v="Ramnagar / 244715"/>
    <s v="351557655080 - 06/02/2023 22:35:00"/>
    <s v="BP/22-23/3520"/>
    <d v="2023-02-06T00:00:00"/>
    <n v="116232.5"/>
    <n v="20489.62"/>
    <x v="8"/>
    <s v="Carton"/>
    <s v="UK18CA3698"/>
    <n v="17.628133267373585"/>
  </r>
  <r>
    <s v="371556378928"/>
    <s v="05AIEPA8211D1Z1 / M/S RADHIKA PAPERS"/>
    <s v="05AAECM6380J1ZA / M/S M R HealthCare Pvt. Ltd."/>
    <s v="Udham Singh Nagar / 244713"/>
    <s v="Ramnagar / 244715"/>
    <s v="371556378928 - 03/02/2023 13:35:00"/>
    <n v="285"/>
    <d v="2023-02-03T00:00:00"/>
    <n v="105593"/>
    <n v="12671.16"/>
    <x v="63"/>
    <s v="Withing printing paper"/>
    <s v="UK21AN9068"/>
    <n v="12"/>
  </r>
  <r>
    <s v="391565885572"/>
    <s v="05ANTPS9188H1Z0 / G K PHARMA"/>
    <s v="05AAECM6380J1ZA / MR HEALTHCARE PVT LTD"/>
    <s v="ROORKEE / 247667"/>
    <s v="Ramnagar / 244715"/>
    <s v="391565885572 - 25/02/2023 23:44:00"/>
    <s v="GKUK/1772/22-23"/>
    <d v="2023-02-24T00:00:00"/>
    <n v="74400"/>
    <n v="13392"/>
    <x v="5"/>
    <m/>
    <s v="UK18TA0659"/>
    <n v="18"/>
  </r>
  <r>
    <s v="331563878914"/>
    <s v="05ANTPS9188H1Z0 / G K PHARMA"/>
    <s v="05AAECM6380J1ZA / MR HEALTHCARE PVT LTD"/>
    <s v="ROORKEE / 247667"/>
    <s v="Ramnagar / 244715"/>
    <s v="331563878914 - 21/02/2023 22:27:00"/>
    <s v="GKUK/1756/22-23"/>
    <d v="2023-02-21T00:00:00"/>
    <n v="187150"/>
    <n v="33687"/>
    <x v="1"/>
    <m/>
    <s v="UK18CA3698"/>
    <n v="18"/>
  </r>
  <r>
    <s v="331564007421"/>
    <s v="05FYDPS0716P2ZZ / Pharma Pack"/>
    <s v="05AAECM6380J1ZA / M.R. Healthcare Pvt Ltd"/>
    <s v="Roorkee / 247661"/>
    <s v="KASHIPUR / 244715"/>
    <s v="331564007421 - 21/02/2023 22:27:00"/>
    <s v="PP/451"/>
    <d v="2023-02-21T00:00:00"/>
    <n v="90629.65"/>
    <n v="16313.36"/>
    <x v="14"/>
    <s v="Aluminium Printing Foil"/>
    <s v="UK18CA3698"/>
    <n v="18.000025378008193"/>
  </r>
  <r>
    <s v="351563414305"/>
    <s v="05AAACY8180G1Z7 / YURVIE PACKAGING PRIVATE LIMITED"/>
    <s v="05AAECM6380J1ZA / M/S M R HealthCare Pvt. Ltd."/>
    <s v="Haridwar / 247661"/>
    <s v="Ramnagar / 244715"/>
    <s v="351563414305 - 20/02/2023 23:33:00"/>
    <s v="Y/22-23/1574"/>
    <d v="2023-02-20T00:00:00"/>
    <n v="87437.66"/>
    <n v="15738.78"/>
    <x v="9"/>
    <s v="LAMI TUBE"/>
    <s v="UK18CA3698"/>
    <n v="18.000001372406352"/>
  </r>
  <r>
    <s v="481315723882"/>
    <s v="09AARPG6593K1ZV / M/S SUNDER INDUSTRIES"/>
    <s v="05AAECM6380J1ZA / M/S M R HealthCare Pvt. Ltd."/>
    <s v="Ghaziabad / 201001"/>
    <s v="Ramnagar / 244715"/>
    <s v="481315723882 - 21/02/2023 18:18:00"/>
    <s v="SI/TI/22-23/814"/>
    <d v="2023-02-21T00:00:00"/>
    <n v="44637"/>
    <n v="8034.66"/>
    <x v="64"/>
    <s v="Printed Aluminium Foil Used in Packing of Medicine"/>
    <s v="UK18CA3698"/>
    <n v="18"/>
  </r>
  <r>
    <s v="481315726414"/>
    <s v="09ABZFS8163Q1ZO / SUNDER PACKAGINGS"/>
    <s v="05AAECM6380J1ZA / M/S M R HealthCare Pvt. Ltd."/>
    <s v="Ghaziabad / 201002"/>
    <s v="Ramnagar / 244715"/>
    <s v="481315726414 - 21/02/2023 18:22:00"/>
    <s v="SP/TI/22-23/936"/>
    <d v="2023-02-21T00:00:00"/>
    <n v="91200"/>
    <n v="16416"/>
    <x v="4"/>
    <s v="Printed Duplex Mono Cartons"/>
    <s v="UK18CA3698"/>
    <n v="18"/>
  </r>
  <r>
    <s v="691520855827"/>
    <s v="24AAACE9178J1ZC / ENVEE DRUG PVT LTD"/>
    <s v="05AAECM6380J1ZA / M/S M R HealthCare Pvt. Ltd."/>
    <s v="Kheda / 387001"/>
    <s v="Ramnagar / 244715"/>
    <s v="691520855827 - 04/02/2023 10:31:00"/>
    <n v="535"/>
    <d v="2023-02-03T00:00:00"/>
    <n v="3138131.75"/>
    <n v="564863.71"/>
    <x v="65"/>
    <s v="OTHER RIFAMPICIN AND ITS SALTS"/>
    <s v="UK18CA4767"/>
    <n v="17.999999840669531"/>
  </r>
  <r>
    <s v="791316134067"/>
    <s v="07AESPT2022H1ZC / Om International"/>
    <s v="05AAECM6380J1ZA / M/S M R HealthCare Pvt. Ltd."/>
    <s v="Central Delhi / 110005"/>
    <s v="Ramnagar / 244715"/>
    <s v="791316134067 - 04/02/2023 21:48:00"/>
    <n v="570"/>
    <d v="2023-02-04T00:00:00"/>
    <n v="230000"/>
    <n v="41400"/>
    <x v="66"/>
    <s v="Change Parts"/>
    <s v="UK18CA5709"/>
    <n v="18"/>
  </r>
  <r>
    <s v="761321471343"/>
    <s v="07AAACR6057R1ZR / ROHAN PHARMA PVT LTD"/>
    <s v="05AAECM6380J1ZA / MRHEALTHCARE PVT LTD"/>
    <s v="DELHI / 110039"/>
    <s v="Ram Nagar / 244715"/>
    <s v="761321471343 - 28/02/2023 22:08:00"/>
    <s v="RPPL/4610/22-23"/>
    <d v="2023-02-27T00:00:00"/>
    <n v="120000"/>
    <n v="21600"/>
    <x v="5"/>
    <m/>
    <s v="UK18CA4773"/>
    <n v="18"/>
  </r>
  <r>
    <s v="791320244732"/>
    <s v="07AAACR6057R1ZR / ROHAN PHARMA PVT LTD"/>
    <s v="05AAECM6380J1ZA / MRHEALTHCARE PVT LTD"/>
    <s v="DELHI / 110039"/>
    <s v="Ram Nagar / 244715"/>
    <s v="791320244732 - 22/02/2023 22:03:00"/>
    <s v="RPPL/4555/22-23"/>
    <d v="2023-02-22T00:00:00"/>
    <n v="20000"/>
    <n v="3600"/>
    <x v="5"/>
    <m/>
    <s v="UK18CA6747"/>
    <n v="18"/>
  </r>
  <r>
    <s v="791319879996"/>
    <s v="07AAGFL4546C1ZI / LAXMI PRINT N PACK"/>
    <s v="05AAECM6380J1ZA / M/S M R HealthCare Pvt. Ltd."/>
    <s v="NARAINA / 110028"/>
    <s v="Ramnagar / 244715"/>
    <s v="791319879996 - 20/02/2023 22:36:00"/>
    <n v="1315"/>
    <d v="2023-02-20T00:00:00"/>
    <n v="18077.25"/>
    <n v="3253.91"/>
    <x v="23"/>
    <m/>
    <s v="UP21BN8847"/>
    <n v="18.000027659074252"/>
  </r>
  <r>
    <s v="761315835216"/>
    <s v="07AAQFC6975N1ZH / CRETA PACKAGING"/>
    <s v="05AAECM6380J1ZA / M/S M R HealthCare Pvt. Ltd."/>
    <s v="North West Delhi / 110042"/>
    <s v="Ramnagar / 244715"/>
    <s v="761315835216 - 03/02/2023 23:25:00"/>
    <s v="CP/21-22/163"/>
    <d v="2023-02-03T00:00:00"/>
    <n v="107999.5"/>
    <n v="19439.91"/>
    <x v="23"/>
    <m/>
    <s v="UK18CA4767"/>
    <n v="18"/>
  </r>
  <r>
    <s v="711321689277"/>
    <s v="07BPSPA7872N2Z1 / SHARVA INTERNATIONAL"/>
    <s v="05AAECM6380J1ZA / M/S M R HealthCare Pvt. Ltd."/>
    <s v="West Delhi / 110015"/>
    <s v="Ramnagar / 244715"/>
    <s v="711321689277 - 28/02/2023 23:20:00"/>
    <s v="SI-368/22-23"/>
    <d v="2023-02-28T00:00:00"/>
    <n v="230730.5"/>
    <n v="41531.49"/>
    <x v="1"/>
    <m/>
    <s v="DL01GC9973"/>
    <n v="18"/>
  </r>
  <r>
    <s v="741321209058"/>
    <s v="07AAGFL4546C1ZI / LAXMI PRINT N PACK"/>
    <s v="05AAECM6380J1ZA / M/S M R HealthCare Pvt. Ltd."/>
    <s v="NARAINA / 110028"/>
    <s v="Ramnagar / 244715"/>
    <s v="741321209058 - 25/02/2023 22:37:00"/>
    <n v="1353"/>
    <d v="2023-02-25T00:00:00"/>
    <n v="26380.6"/>
    <n v="4748.51"/>
    <x v="23"/>
    <m/>
    <s v="UP21CT6641"/>
    <n v="18.000007581328706"/>
  </r>
  <r>
    <s v="731317593892"/>
    <s v="07AAGFL4546C1ZI / LAXMI PRINT N PACK"/>
    <s v="05AAECM6380J1ZA / M/S M R HealthCare Pvt. Ltd."/>
    <s v="NARAINA / 110028"/>
    <s v="Ramnagar / 244715"/>
    <s v="731317593892 - 10/02/2023 22:41:00"/>
    <n v="1266"/>
    <d v="2023-02-10T00:00:00"/>
    <n v="5825"/>
    <n v="1049"/>
    <x v="23"/>
    <m/>
    <s v="UP21BN8847"/>
    <n v="18.008583690987123"/>
  </r>
  <r>
    <s v="781317454370"/>
    <s v="07ASZPG6153D1ZH / GUNINA PRINT PACK"/>
    <s v="05AAECM6380J1ZA / MR HEALTHCARE PVT LTD"/>
    <s v="Delhi / 110095"/>
    <s v="RAMNAGER / 244715"/>
    <s v="781317454370 - 10/02/2023 22:17:00"/>
    <n v="621"/>
    <d v="2023-02-10T00:00:00"/>
    <n v="95568"/>
    <n v="17202.240000000002"/>
    <x v="20"/>
    <m/>
    <s v="UP21BN8847"/>
    <n v="18.000000000000004"/>
  </r>
  <r>
    <s v="791316391886"/>
    <s v="07AAACR6057R1ZR / ROHAN PHARMA PVT LTD"/>
    <s v="05AAECM6380J1ZA / MRHEALTHCARE PVT LTD"/>
    <s v="DELHI / 110039"/>
    <s v="Ram Nagar / 244715"/>
    <s v="791316391886 - 06/02/2023 21:01:00"/>
    <s v="RPPL/4362/22-23"/>
    <d v="2023-02-06T00:00:00"/>
    <n v="205250"/>
    <n v="36945"/>
    <x v="5"/>
    <m/>
    <s v="UK06CB5759"/>
    <n v="18"/>
  </r>
  <r>
    <s v="781328504198"/>
    <s v="07ABWPB1401F1Z3 / BHARAT PHARMA"/>
    <s v="05AAECM6380J1ZA / MR HEALTHCARE PVT LTD"/>
    <s v="DELHI / 110042"/>
    <s v="UTTARAKHAND / 244715"/>
    <s v="781328504198 - 30/03/2023 21:39:00"/>
    <s v="BPG/22-23/4254"/>
    <d v="2023-03-29T00:00:00"/>
    <n v="200100"/>
    <n v="36018"/>
    <x v="38"/>
    <s v="ETORICOXIB IP (SEUTIC)"/>
    <s v="HR38X5874"/>
    <n v="18"/>
  </r>
  <r>
    <s v="771327542310"/>
    <s v="07AAGFL4546C1ZI / LAXMI PRINT N PACK"/>
    <s v="05AAECM6380J1ZA / M/S M R HealthCare Pvt. Ltd."/>
    <s v="New Delhi / 110028"/>
    <s v="Ramnagar / 244715"/>
    <s v="771327542310 - 26/03/2023 00:58:00"/>
    <s v="2022-2023/1539"/>
    <d v="2023-03-25T00:00:00"/>
    <n v="86143"/>
    <n v="0"/>
    <x v="23"/>
    <s v="BOX"/>
    <s v="UP21CN5551"/>
    <n v="0"/>
  </r>
  <r>
    <s v="711326795029"/>
    <s v="07ASZPG6153D1ZH / GUNINA PRINT PACK"/>
    <s v="05AAECM6380J1ZA / MR HEALTHCARE PVT LTD"/>
    <s v="Delhi / 110095"/>
    <s v="RAMNAGER / 244715"/>
    <s v="711326795029 - 22/03/2023 20:38:00"/>
    <n v="715"/>
    <d v="2023-03-22T00:00:00"/>
    <n v="249153.55"/>
    <n v="44847.64"/>
    <x v="20"/>
    <m/>
    <s v="UP21AN9959"/>
    <n v="18.000000401358921"/>
  </r>
  <r>
    <s v="791326162975"/>
    <s v="07ALSPG4781D1ZW / CRETA PACKAGING"/>
    <s v="05AAECM6380J1ZA / M/S M R HealthCare Pvt. Ltd."/>
    <s v="New Delhi / 110042"/>
    <s v="Ramnagar / 244715"/>
    <s v="791326162975 - 21/03/2023 00:51:00"/>
    <s v="CP/22-23/40"/>
    <d v="2023-03-20T00:00:00"/>
    <n v="85624"/>
    <n v="15412.32"/>
    <x v="23"/>
    <m/>
    <s v="UK18TA0659"/>
    <n v="18"/>
  </r>
  <r>
    <s v="711325071467"/>
    <s v="07AAGFL4546C1ZI / LAXMI PRINT N PACK"/>
    <s v="05AAECM6380J1ZA / M/S M R HealthCare Pvt. Ltd."/>
    <s v="NARAINA / 110028"/>
    <s v="Ramnagar / 244715"/>
    <s v="711325071467 - 15/03/2023 22:24:00"/>
    <n v="1469"/>
    <d v="2023-03-15T00:00:00"/>
    <n v="35941.199999999997"/>
    <n v="6470"/>
    <x v="23"/>
    <m/>
    <s v="UP21CN5551"/>
    <n v="18.001624876186661"/>
  </r>
  <r>
    <s v="751324381046"/>
    <s v="07AAQFC6975N1ZH / CRETA PACKAGING"/>
    <s v="05AAECM6380J1ZA / M/S M R HealthCare Pvt. Ltd."/>
    <s v="North West Delhi / 110042"/>
    <s v="Ramnagar / 244715"/>
    <s v="751324381046 - 14/03/2023 21:35:00"/>
    <s v="CP/22-23/30"/>
    <d v="2023-03-13T00:00:00"/>
    <n v="50624"/>
    <n v="9112.32"/>
    <x v="23"/>
    <m/>
    <s v="UK18TA0659"/>
    <n v="18"/>
  </r>
  <r>
    <s v="771324685915"/>
    <s v="08AACCA7721R1Z7 / ALKA LABORATORIES PVT LTD"/>
    <s v="05AAECM6380J1ZA / M R Healthcare Pvt Ltd"/>
    <s v="BHIWADI / 301019"/>
    <s v="Ramnagar / 244715"/>
    <s v="771324685915 - 14/03/2023 15:46:00"/>
    <s v="ALPL22231209"/>
    <d v="2023-03-14T00:00:00"/>
    <n v="186000"/>
    <n v="33480"/>
    <x v="28"/>
    <s v="Mefenamic Acid BP"/>
    <s v="UK08CA9855"/>
    <n v="18"/>
  </r>
  <r>
    <s v="761322599178"/>
    <s v="07AAACR6057R1ZR / ROHAN PHARMA PVT LTD"/>
    <s v="05AAECM6380J1ZA / MRHEALTHCARE PVT LTD"/>
    <s v="BAWANA / 110039"/>
    <s v="Ram Nagar / 244715"/>
    <s v="761322599178 - 04/03/2023 23:38:00"/>
    <s v="RPPL/4671/22-23"/>
    <d v="2023-03-03T00:00:00"/>
    <n v="54000"/>
    <n v="9720"/>
    <x v="1"/>
    <m/>
    <s v="UK18CA4773"/>
    <n v="18"/>
  </r>
  <r>
    <s v="751323005093"/>
    <s v="07AAGFL4546C1ZI / LAXMI PRINT N PACK"/>
    <s v="05AAECM6380J1ZA / M/S M R HealthCare Pvt. Ltd."/>
    <s v="NARAINA / 110028"/>
    <s v="Ramnagar / 244715"/>
    <s v="751323005093 - 04/03/2023 22:49:00"/>
    <n v="1406"/>
    <d v="2023-03-04T00:00:00"/>
    <n v="7192.85"/>
    <n v="1294.71"/>
    <x v="23"/>
    <m/>
    <s v="UK02CA0605"/>
    <n v="17.999958291914886"/>
  </r>
  <r>
    <s v="761328713826"/>
    <s v="07ASZPG6153D1ZH / GUNINA PRINT PACK"/>
    <s v="05AAECM6380J1ZA / MR HEALTHCARE PVT LTD"/>
    <s v="Delhi / 110095"/>
    <s v="RAMNAGER / 244715"/>
    <s v="761328713826 - 30/03/2023 22:10:00"/>
    <n v="736"/>
    <d v="2023-03-30T00:00:00"/>
    <n v="75840.899999999994"/>
    <n v="13651.36"/>
    <x v="20"/>
    <m/>
    <s v="UK02CA0605"/>
    <n v="17.999997362900494"/>
  </r>
  <r>
    <s v="711328406880"/>
    <s v="07ABECS4075R1ZM / SAMCHEM INDIA PRIVATE LIMITED"/>
    <s v="05AAECM6380J1ZA / M/S M R HealthCare Pvt. Ltd."/>
    <s v="New Delhi / 110015"/>
    <s v="Ramnagar / 244715"/>
    <s v="711328406880 - 29/03/2023 22:34:00"/>
    <s v="SIPL/22-23/3446"/>
    <d v="2023-03-29T00:00:00"/>
    <n v="290290"/>
    <n v="52252.2"/>
    <x v="67"/>
    <s v="RAW MATERIAL"/>
    <s v="UP21BN8847"/>
    <n v="18"/>
  </r>
  <r>
    <s v="791327819872"/>
    <s v="08AACCA7721R1Z7 / ALKA LABORATORIES PVT LTD"/>
    <s v="05AAECM6380J1ZA / M R Healthcare Pvt Ltd"/>
    <s v="BHIWADI / 301019"/>
    <s v="Ramnagar / 244715"/>
    <s v="791327819872 - 27/03/2023 12:44:00"/>
    <s v="ALPL22231265"/>
    <d v="2023-03-27T00:00:00"/>
    <n v="305000"/>
    <n v="54900"/>
    <x v="28"/>
    <s v="Mefenamic Acid BP"/>
    <s v="UK08CA9855"/>
    <n v="18"/>
  </r>
  <r>
    <s v="721327167192"/>
    <s v="08AACCA7721R1Z7 / ALKA LABORATORIES PVT LTD"/>
    <s v="05AAECM6380J1ZA / M R Healthcare Pvt Ltd"/>
    <s v="BHIWADI / 301019"/>
    <s v="Ramnagar / 244715"/>
    <s v="721327167192 - 24/03/2023 12:56:00"/>
    <s v="ALPL22231253"/>
    <d v="2023-03-24T00:00:00"/>
    <n v="183500"/>
    <n v="33030"/>
    <x v="28"/>
    <s v="Mefenamic Acid BP"/>
    <s v="HR58C3855"/>
    <n v="18"/>
  </r>
  <r>
    <s v="781326796250"/>
    <s v="07ASZPG6153D1ZH / GUNINA PRINT PACK"/>
    <s v="05AAECM6380J1ZA / MR HEALTHCARE PVT LTD"/>
    <s v="Delhi / 110095"/>
    <s v="RAMNAGER / 244715"/>
    <s v="781326796250 - 22/03/2023 20:46:00"/>
    <n v="718"/>
    <d v="2023-03-22T00:00:00"/>
    <n v="9900"/>
    <n v="1782"/>
    <x v="11"/>
    <m/>
    <s v="UP21AN9959"/>
    <n v="18"/>
  </r>
  <r>
    <s v="781326315886"/>
    <s v="07AAACR6057R1ZR / ROHAN PHARMA PVT LTD"/>
    <s v="05AAECM6380J1ZA / MRHEALTHCARE PVT LTD"/>
    <s v="BAWANA / 110039"/>
    <s v="Ram Nagar / 244715"/>
    <s v="781326315886 - 22/03/2023 00:20:00"/>
    <s v="RPPL/4894/22-23"/>
    <d v="2023-03-21T00:00:00"/>
    <n v="31500"/>
    <n v="5670"/>
    <x v="5"/>
    <m/>
    <s v="UK18TA0659"/>
    <n v="18"/>
  </r>
  <r>
    <s v="751323570687"/>
    <s v="07AATFD3714H1ZB / DIWAN CHAND SAHANI AND SONS LLP"/>
    <s v="05AAECM6380J1ZA / M/S M R HealthCare Pvt. Ltd."/>
    <s v="Central Delhi / 110005"/>
    <s v="Ramnagar / 244715"/>
    <s v="751323570687 - 10/03/2023 21:17:00"/>
    <s v="DCS/22-23/2240"/>
    <d v="2023-03-09T00:00:00"/>
    <n v="191250"/>
    <n v="34425"/>
    <x v="68"/>
    <s v="OTHER CHEMICALS"/>
    <s v="UK06CB5759"/>
    <n v="18"/>
  </r>
  <r>
    <s v="741328456008"/>
    <s v="07BPSPA7872N2Z1 / SHARVA INTERNATIONAL"/>
    <s v="05AAECM6380J1ZA / M/S M R HealthCare Pvt. Ltd."/>
    <s v="West Delhi / 110015"/>
    <s v="Ramnagar / 244715"/>
    <s v="741328456008 - 29/03/2023 22:35:00"/>
    <s v="SI-408/22-23"/>
    <d v="2023-03-29T00:00:00"/>
    <n v="230730.5"/>
    <n v="41531.49"/>
    <x v="1"/>
    <m/>
    <s v="UP21BN8847"/>
    <n v="18"/>
  </r>
  <r>
    <s v="751328051372"/>
    <s v="07AWMPG2245H1ZL / RAINBOW PHARMA AGENCIES"/>
    <s v="05AAECM6380J1ZA / M.R.HEALTHCARE PVT. LTD. - Uttarakhand"/>
    <s v="Delhi / 110040"/>
    <s v="Uttrakhand / 244715"/>
    <s v="751328051372 - 28/03/2023 10:38:00"/>
    <s v="2022-23/1405"/>
    <d v="2023-03-28T00:00:00"/>
    <n v="524000"/>
    <n v="94320"/>
    <x v="33"/>
    <s v="AZITHROMYCIN IP/USP"/>
    <s v="UK18CA4773"/>
    <n v="18"/>
  </r>
  <r>
    <s v="601543202371"/>
    <s v="24AALCS2037D1ZO / STERMONE CHEMICALS PVT LTD"/>
    <s v="05AAECM6380J1ZA / M/S M R HealthCare Pvt. Ltd."/>
    <s v="Anand / 388620"/>
    <s v="Ramnagar / 244715"/>
    <s v="601543202371 - 30/03/2023 00:32:00"/>
    <s v="SCPL/1291/22-23"/>
    <d v="2023-03-27T00:00:00"/>
    <n v="81000"/>
    <n v="14580"/>
    <x v="69"/>
    <s v="CLOBETASOL PROPIONATE IP"/>
    <s v="HR38AB4032"/>
    <n v="18"/>
  </r>
  <r>
    <s v="621541012497"/>
    <s v="26AAACA3345D1Z8 / Amisha Vinyls Pvt. Ltd."/>
    <s v="05AAECM6380J1ZA / M.R.HEALTHCARE PVT.LTD."/>
    <s v="Daman / 396210"/>
    <s v="Nainital / 244715"/>
    <s v="621541012497 - 22/03/2023 19:09:00"/>
    <n v="4866"/>
    <d v="2023-03-22T00:00:00"/>
    <n v="275517.76"/>
    <m/>
    <x v="12"/>
    <s v="Pharma grade - 01 - Blue Tone - 0.25mm Thick - 208mm Width - Paper Core 9 - BOX - WL"/>
    <s v="UK18CA6871"/>
    <n v="0"/>
  </r>
  <r>
    <s v="601537369187"/>
    <s v="24AABFC0922C1ZC / COREL PHARMA CHEM"/>
    <s v="05AAECM6380J1ZA / M. R. Healthcare Private Limited"/>
    <s v="Mehsana / 382715"/>
    <s v="Nainital / 244715"/>
    <s v="601537369187 - 16/03/2023 19:20:00"/>
    <s v="INV/22-23/09685"/>
    <d v="2023-03-15T00:00:00"/>
    <n v="127500"/>
    <n v="22950"/>
    <x v="70"/>
    <s v="Kyron T-134 (DR) (25 Kg)"/>
    <s v="UK18TA0659"/>
    <n v="18"/>
  </r>
  <r>
    <s v="661537137834"/>
    <s v="23BJGPJ1082F1ZM / YES LIFESCIENCE"/>
    <s v="05AAECM6380J1ZA / M/S M R HealthCare Pvt. Ltd."/>
    <s v="Indore / 452001"/>
    <s v="Ramnagar / 244715"/>
    <s v="661537137834 - 15/03/2023 20:38:00"/>
    <s v="YES/637/22-23"/>
    <d v="2023-03-14T00:00:00"/>
    <n v="248347.8"/>
    <n v="44702.6"/>
    <x v="29"/>
    <s v="HL MEDICINE"/>
    <s v="UK18TA0659"/>
    <n v="17.999998389355575"/>
  </r>
  <r>
    <s v="651535357064"/>
    <s v="24AABCP1993P1ZX / Pure Chem Private Limited"/>
    <s v="05AAECM6380J1ZA / M.R.HEALTHCARE PVT.LTD."/>
    <s v="Ankleshwar / 393002"/>
    <s v="Nainital / 244715"/>
    <s v="651535357064 - 14/03/2023 16:37:00"/>
    <s v="PCPL/633/22-23"/>
    <d v="2023-03-10T00:00:00"/>
    <n v="408000"/>
    <n v="73440"/>
    <x v="71"/>
    <s v="Febantel IP"/>
    <s v="UK18TA0659"/>
    <n v="18"/>
  </r>
  <r>
    <s v="611535093137"/>
    <s v="26AAACA3345D1Z8 / Amisha Vinyls Pvt. Ltd."/>
    <s v="05AAECM6380J1ZA / M.R.HEALTHCARE PVT.LTD."/>
    <s v="Daman / 396210"/>
    <s v="Nainital / 244715"/>
    <s v="611535093137 - 09/03/2023 16:26:00"/>
    <n v="4675"/>
    <d v="2023-03-09T00:00:00"/>
    <n v="200324.44"/>
    <m/>
    <x v="12"/>
    <s v="Pharma grade - 01 - Blue Tone - 0.25mm Thick - 184mm Width - Paper Core 9 - BOX - WL"/>
    <s v="UK06CB4490"/>
    <n v="0"/>
  </r>
  <r>
    <s v="681543042742"/>
    <s v="24AAACV3832E1ZP / VIKRAM THERMO INDIA LIMITED"/>
    <s v="05AAECM6380J1ZA / M/S M R HealthCare Pvt. Ltd."/>
    <s v="DHANOT / 382729"/>
    <s v="Ramnagar / 244715"/>
    <s v="681543042742 - 27/03/2023 19:49:00"/>
    <s v="I-22-23/2220"/>
    <d v="2023-03-27T00:00:00"/>
    <n v="121500"/>
    <n v="21870"/>
    <x v="46"/>
    <s v="DRCOAT HSP"/>
    <s v="UK18CA6153"/>
    <n v="18"/>
  </r>
  <r>
    <s v="641538415634"/>
    <s v="24AARFM8635Q1ZB / MEGHMANI LLP"/>
    <s v="05AAECM6380J1ZA / M. R. Healthcare Pvt Ltd"/>
    <s v="DAHEJ / 392130"/>
    <s v="Nainital / 244715"/>
    <s v="641538415634 - 17/03/2023 11:18:00"/>
    <s v="LU3/2223/330977"/>
    <d v="2023-03-17T00:00:00"/>
    <n v="1350000"/>
    <n v="243000"/>
    <x v="19"/>
    <s v="PARACETAMOL IP Powder"/>
    <s v="UP79T0835"/>
    <n v="18"/>
  </r>
  <r>
    <s v="641536952050"/>
    <s v="24AACCP8166B1ZM / PRANAMI DRUGS PVT. LTD."/>
    <s v="05AAECM6380J1ZA / M. R. HEALTHCARE PVT. LTD."/>
    <s v="ANKLESHWAR / 393002"/>
    <s v="KASHIPUR / 244715"/>
    <s v="641536952050 - 15/03/2023 22:37:00"/>
    <s v="654/2022-23"/>
    <d v="2023-03-14T00:00:00"/>
    <n v="46250"/>
    <n v="8325"/>
    <x v="40"/>
    <s v="MICONAZOLE NITRATE"/>
    <s v="DL01GC4804"/>
    <n v="18"/>
  </r>
  <r>
    <s v="691534955494"/>
    <s v="24AAQFR9860F1ZP / REINE LIFESCIENCE"/>
    <s v="05AAECM6380J1ZA / M/S M R HealthCare Pvt. Ltd."/>
    <s v="Bharuch / 393002"/>
    <s v="Ramnagar / 244715"/>
    <s v="691534955494 - 14/03/2023 16:37:00"/>
    <s v="RLS/2351/22-23"/>
    <d v="2023-03-09T00:00:00"/>
    <n v="93750"/>
    <n v="16875"/>
    <x v="1"/>
    <s v="Pharma Product"/>
    <s v="UK18TA0659"/>
    <n v="18"/>
  </r>
  <r>
    <s v="461291110368"/>
    <s v="09BGUPK3260M1ZP / SHRI ENTERPRISES"/>
    <s v="05AAECM6380J1ZA / M R Healthcare Pvt Ltd"/>
    <s v="SAHARANPUR / 247001"/>
    <s v="/ 244715"/>
    <s v="461291110368 - 13/11/2022 00:02:00"/>
    <n v="174"/>
    <d v="2022-11-11T00:00:00"/>
    <n v="58003.8"/>
    <n v="10440.68"/>
    <x v="21"/>
    <s v="PAPER"/>
    <s v="UK17CA4284"/>
    <n v="17.999993103900088"/>
  </r>
  <r>
    <s v="421292148791"/>
    <s v="09AVWPT8411D1Z0 / MEDZY PHARMACEUTICAL"/>
    <s v="05AAECM6380J1ZA / M/S M R HealthCare Pvt. Ltd."/>
    <s v="RUDRAPUR / 263153"/>
    <s v="Ramnagar / 244715"/>
    <s v="421292148791 - 16/11/2022 09:46:00"/>
    <n v="52"/>
    <d v="2022-11-16T00:00:00"/>
    <n v="213000"/>
    <n v="38340"/>
    <x v="25"/>
    <m/>
    <s v="UK06CB2817"/>
    <n v="18"/>
  </r>
  <r>
    <s v="401293616022"/>
    <s v="09BGUPK3260M1ZP / SHRI ENTERPRISES"/>
    <s v="05AAECM6380J1ZA / M R Healthcare Pvt Ltd"/>
    <s v="SAHARANPUR / 247001"/>
    <s v="/ 244715"/>
    <s v="401293616022 - 22/11/2022 12:23:00"/>
    <n v="179"/>
    <d v="2022-11-21T00:00:00"/>
    <n v="118040"/>
    <n v="21247.200000000001"/>
    <x v="21"/>
    <s v="PAPER"/>
    <s v="UK17CA4284"/>
    <n v="18"/>
  </r>
  <r>
    <s v="331519891837"/>
    <s v="05ANTPS9188H1Z0 / G K PHARMA"/>
    <s v="05AAECM6380J1ZA / MR HEALTHCARE PVT LTD"/>
    <s v="ROORKEE / 247667"/>
    <s v="Ramnagar / 244715"/>
    <s v="331519891837 - 07/11/2022 22:38:00"/>
    <s v="GKUK/1117/22-23"/>
    <d v="2022-11-07T00:00:00"/>
    <n v="195200"/>
    <n v="35136"/>
    <x v="5"/>
    <m/>
    <s v="UK18CA3698"/>
    <n v="18"/>
  </r>
  <r>
    <s v="361519392579"/>
    <s v="05KBGPS5273E1ZC / SUNDERAM PACKAGING"/>
    <s v="05AAECM6380J1ZA / M/S M R HealthCare Pvt. Ltd."/>
    <s v="Udham Singh Nagar / 263153"/>
    <s v="Ramnagar / 244715"/>
    <s v="361519392579 - 06/11/2022 06:21:00"/>
    <s v="SP407"/>
    <d v="2022-11-05T00:00:00"/>
    <n v="44727.199999999997"/>
    <n v="8050.9"/>
    <x v="47"/>
    <s v="FOIL"/>
    <s v="UK06CB1942"/>
    <n v="18.000008943103975"/>
  </r>
  <r>
    <s v="371518464731"/>
    <s v="05AAJFB5728K1ZA / Blize Printers (2022-23)"/>
    <s v="05AAECM6380J1ZA / M.R. HEALTHCARE PVT. LTD."/>
    <s v="BHAGWANPUR / 247661"/>
    <s v="Ramnagar / 244715"/>
    <s v="371518464731 - 03/11/2022 23:43:00"/>
    <s v="BP/22-23/2457"/>
    <d v="2022-11-03T00:00:00"/>
    <n v="205045.5"/>
    <n v="34996.879999999997"/>
    <x v="8"/>
    <s v="Carton"/>
    <s v="UK17CA4642"/>
    <n v="17.067860548024704"/>
  </r>
  <r>
    <s v="301517959039"/>
    <s v="05ABIPJ4175A1Z2 / MAHAVEER AGENCIES"/>
    <s v="05AAECM6380J1ZA / M.R.Healthcare Pvt.Ltd,"/>
    <s v="HARIDWAR / 249401"/>
    <s v="KASHIPUR / 244715"/>
    <s v="301517959039 - 02/11/2022 20:06:00"/>
    <s v="MA/22-23/02298"/>
    <d v="2022-11-02T00:00:00"/>
    <n v="156000"/>
    <n v="28080"/>
    <x v="68"/>
    <s v="CAB-O-SIL (M5 P)"/>
    <s v="UK18CA3698"/>
    <n v="18"/>
  </r>
  <r>
    <s v="361529978781"/>
    <s v="05AAVFR9326F1ZR / ROLL PACK ENTERPRISES KASHIPUR"/>
    <s v="05AAECM6380J1ZA / M/S M R HealthCare Pvt. Ltd."/>
    <s v="Udham Singh Nagar / 244713"/>
    <s v="Ramnagar / 244715"/>
    <s v="361529978781 - 30/11/2022 20:09:00"/>
    <n v="5527"/>
    <d v="2022-11-30T00:00:00"/>
    <n v="43883"/>
    <n v="7898.94"/>
    <x v="72"/>
    <s v="STAMP"/>
    <s v="UK18E3691"/>
    <n v="18"/>
  </r>
  <r>
    <s v="371528853961"/>
    <s v="05AABCA8568R1ZZ / ABS Mercantiles Pvt. Ltd."/>
    <s v="05AAECM6380J1ZA / M.R. HEALTHCARE PVT. LTD."/>
    <s v="UTTARAKHAND / 247667"/>
    <s v="Ram Nagar / 244715"/>
    <s v="371528853961 - 29/11/2022 00:20:00"/>
    <s v="ABSR/22-23/0629"/>
    <d v="2022-11-28T00:00:00"/>
    <n v="460000"/>
    <n v="82800"/>
    <x v="1"/>
    <s v="Itraconazole Pellets 40% -BP"/>
    <s v="UK18CA4773"/>
    <n v="18"/>
  </r>
  <r>
    <s v="301528911789"/>
    <s v="05ABSFA7387F1Z0 / AASTHA MEDI SOLUTIONS"/>
    <s v="05AAECM6380J1ZA / M/S M R HealthCare Pvt. Ltd."/>
    <s v="Haridwar / 247667"/>
    <s v="Ramnagar / 244715"/>
    <s v="301528911789 - 28/11/2022 19:12:00"/>
    <n v="918"/>
    <d v="2022-11-28T00:00:00"/>
    <n v="79081.649999999994"/>
    <n v="14234.7"/>
    <x v="14"/>
    <s v="alumunium printed foil"/>
    <s v="UK18CA4773"/>
    <n v="18.000003793547556"/>
  </r>
  <r>
    <s v="371526869142"/>
    <s v="05ACPFS1430H1Z7 / M/S SWASTIK ART CREATIONS"/>
    <s v="05AAECM6380J1ZA / M/S M R HealthCare Pvt. Ltd."/>
    <s v="Haridwar / 247667"/>
    <s v="Ramnagar / 244715"/>
    <s v="371526869142 - 23/11/2022 23:20:00"/>
    <s v="S/1060/22-23"/>
    <d v="2022-11-23T00:00:00"/>
    <n v="61669.25"/>
    <n v="11100.46"/>
    <x v="4"/>
    <s v="CARTON"/>
    <s v="UK17CA4358"/>
    <n v="17.999991892231542"/>
  </r>
  <r>
    <s v="361525241083"/>
    <s v="05AAHFI1252P1Z8 / IATRIC BIO SCIENCES LLP."/>
    <s v="05AAECM6380J1ZA / M.R.HEALTHCARE PVT. LTD."/>
    <s v="ROORKEE / 247667"/>
    <s v="Nainital / 244715"/>
    <s v="361525241083 - 19/11/2022 22:38:00"/>
    <s v="IBS/22-23/06194"/>
    <d v="2022-11-19T00:00:00"/>
    <n v="38019"/>
    <n v="6843.42"/>
    <x v="73"/>
    <s v="VITAMIN D3 STABILIZED 500000 IU/GM(29362940)STABICO"/>
    <s v="UK18CA4767"/>
    <n v="18"/>
  </r>
  <r>
    <s v="331525006681"/>
    <s v="05ABMFA2598N1ZU / A ONE TRADERS"/>
    <s v="05AAECM6380J1ZA / M/S M R HealthCare Pvt. Ltd."/>
    <s v="Haridwar / 249402"/>
    <s v="Ramnagar / 244715"/>
    <s v="331525006681 - 19/11/2022 19:43:00"/>
    <s v="AOT/778"/>
    <d v="2022-11-19T00:00:00"/>
    <n v="60000"/>
    <n v="10800"/>
    <x v="5"/>
    <s v="EMPTY CAPSULE SHELL"/>
    <s v="UK18CA4767"/>
    <n v="18"/>
  </r>
  <r>
    <s v="381520499555"/>
    <s v="06AABCF5740N1ZG / Alutech Packaging Private Limited"/>
    <s v="05AAECM6380J1ZA / M R Healthcare Pvt Ltd"/>
    <s v="Bahadurgarh / 124507"/>
    <s v="NANITAL / 244715"/>
    <s v="381520499555 - 08/11/2022 23:23:00"/>
    <s v="APPL/22-23/4857"/>
    <d v="2022-11-08T00:00:00"/>
    <n v="1034923.5"/>
    <n v="186286.23"/>
    <x v="14"/>
    <s v="Aluminium Foil"/>
    <m/>
    <n v="18"/>
  </r>
  <r>
    <s v="301519888658"/>
    <s v="05ANTPS9188H1Z0 / G K PHARMA"/>
    <s v="05AAECM6380J1ZA / MR HEALTHCARE PVT LTD"/>
    <s v="ROORKEE / 247667"/>
    <s v="Ramnagar / 244715"/>
    <s v="301519888658 - 07/11/2022 22:38:00"/>
    <s v="GKUK/1118/22-23"/>
    <d v="2022-11-07T00:00:00"/>
    <n v="43000"/>
    <n v="7740"/>
    <x v="1"/>
    <m/>
    <s v="UK18CA3698"/>
    <n v="18"/>
  </r>
  <r>
    <s v="381517858152"/>
    <s v="05ALGPC9789H1ZQ / OM PHARMACEUTICALS"/>
    <s v="05AAECM6380J1ZA / M/S M R HealthCare Pvt. Ltd."/>
    <s v="Haridwar / 249402"/>
    <s v="Ramnagar / 244715"/>
    <s v="381517858152 - 02/11/2022 20:06:00"/>
    <s v="OP/00270/2022-23"/>
    <d v="2022-11-02T00:00:00"/>
    <n v="147750"/>
    <n v="26595"/>
    <x v="26"/>
    <s v="PVPK30"/>
    <s v="UK18CA3698"/>
    <n v="18"/>
  </r>
  <r>
    <s v="331518067004"/>
    <s v="06AYEPS2518M1Z4 / FORTUNE SOURCING"/>
    <s v="05AAECM6380J1ZA / M/S M R HealthCare Pvt. Ltd."/>
    <s v="Gurugram / 122001"/>
    <s v="Ramnagar / 244715"/>
    <s v="331518067004 - 02/11/2022 19:50:00"/>
    <s v="FS/0211/2022-23"/>
    <d v="2022-11-02T00:00:00"/>
    <n v="66122.7"/>
    <n v="11902.09"/>
    <x v="10"/>
    <s v="LAMI TUBE"/>
    <s v="UK06CA7185"/>
    <n v="18.000006049359751"/>
  </r>
  <r>
    <s v="361518001308"/>
    <s v="06AFVPG3592H1Z1 / SHREE SHYAM PACKAGING"/>
    <s v="05AAECM6380J1ZA / M/S M R HealthCare Pvt. Ltd."/>
    <s v="Jhajjar / 124507"/>
    <s v="Ramnagar / 244715"/>
    <s v="361518001308 - 02/11/2022 17:07:00"/>
    <s v="SSP/22-23/597"/>
    <d v="2022-11-02T00:00:00"/>
    <n v="60090.2"/>
    <n v="10816.24"/>
    <x v="64"/>
    <m/>
    <s v="UK18CA4773"/>
    <n v="18.00000665665949"/>
  </r>
  <r>
    <s v="351521245354"/>
    <s v="05ABNPA6018N2ZK / Manish Pharma"/>
    <s v="05AAECM6380J1ZA / MR HEALTHCARE PVT LTD"/>
    <s v="ROORKEE / 247667"/>
    <s v="KOSI ROAD,RAMNAGAR / 244715"/>
    <s v="351521245354 - 10/11/2022 22:07:00"/>
    <s v="MPR/22-23/3219"/>
    <d v="2022-11-10T00:00:00"/>
    <n v="156078"/>
    <n v="28094.04"/>
    <x v="1"/>
    <s v="NIMESULIDE -BP (ALKA)"/>
    <s v="UK18CA4303"/>
    <n v="18"/>
  </r>
  <r>
    <s v="321521005155"/>
    <s v="05AAQCS5989R1ZZ / M/S SATYAM SHIVAM PACKAGING PRIVATE LIMITED"/>
    <s v="05AAECM6380J1ZA / M/S M R HealthCare Pvt. Ltd."/>
    <s v="Udham Singh Nagar / 263153"/>
    <s v="Ramnagar / 244715"/>
    <s v="321521005155 - 10/11/2022 09:43:00"/>
    <s v="SSP/22-23/1223"/>
    <d v="2022-11-10T00:00:00"/>
    <n v="56986.5"/>
    <n v="10257.56"/>
    <x v="18"/>
    <s v="570X460X335 MM (5 PLY C BOX)"/>
    <s v="UK06CB0108"/>
    <n v="17.999982451984241"/>
  </r>
  <r>
    <s v="301520256576"/>
    <s v="02AAACR6057R1Z1 / ROHAN PHARMA PVT LTD"/>
    <s v="05AAECM6380J1ZA / MRHEALTHCARE PVT LTD"/>
    <s v="BADDI / 173205"/>
    <s v="Ram Nagar / 244715"/>
    <s v="301520256576 - 09/11/2022 11:02:00"/>
    <s v="RPHP/2284/22-23"/>
    <d v="2022-11-08T00:00:00"/>
    <n v="22500"/>
    <n v="4050"/>
    <x v="1"/>
    <s v="CI 50MGZINC 618MG FOLIC ACID 05MG"/>
    <s v="UP22AT0986"/>
    <n v="18"/>
  </r>
  <r>
    <s v="331520425399"/>
    <s v="05ADVFS5795G1Z9 / Shri Krishna Polymer"/>
    <s v="05AAECM6380J1ZA / M,R HEALTHCARE PVT LTD"/>
    <s v="ROORKEE / 247667"/>
    <s v="Ramnagar / 244715"/>
    <s v="331520425399 - 08/11/2022 18:08:00"/>
    <n v="953"/>
    <d v="2022-11-08T00:00:00"/>
    <n v="69563"/>
    <n v="12521.34"/>
    <x v="12"/>
    <s v="0.25x184mm Clear Pvc Film"/>
    <s v="UK18CA4767"/>
    <n v="18"/>
  </r>
  <r>
    <s v="341518743165"/>
    <s v="05ALGPC9789H1ZQ / OM PHARMACEUTICALS"/>
    <s v="05AAECM6380J1ZA / M/S M R HealthCare Pvt. Ltd."/>
    <s v="Haridwar / 249402"/>
    <s v="Ramnagar / 244715"/>
    <s v="341518743165 - 04/11/2022 20:10:00"/>
    <s v="OP/00274/2022-23"/>
    <d v="2022-11-04T00:00:00"/>
    <n v="82000"/>
    <n v="14760"/>
    <x v="25"/>
    <s v="MCCP ACECEL 102 IP"/>
    <s v="UK17CA1878"/>
    <n v="18"/>
  </r>
  <r>
    <s v="391518450525"/>
    <s v="05AASFR5565R1Z4 / M/S ROORKEE FOIL"/>
    <s v="05AAECM6380J1ZA / M/S M R HealthCare Pvt. Ltd."/>
    <s v="Haridwar / 247667"/>
    <s v="Ramnagar / 244715"/>
    <s v="391518450525 - 03/11/2022 23:43:00"/>
    <s v="RK/22-23/1655"/>
    <d v="2022-11-03T00:00:00"/>
    <n v="45566.15"/>
    <n v="8201.9"/>
    <x v="20"/>
    <s v="BLISTER FOIL PRINTED"/>
    <s v="UK17CA4642"/>
    <n v="17.99998463771901"/>
  </r>
  <r>
    <s v="381529262903"/>
    <s v="05ABNPA6018N2ZK / Manish Pharma"/>
    <s v="05AAECM6380J1ZA / MR HEALTHCARE PVT LTD"/>
    <s v="ROORKEE / 247667"/>
    <s v="KOSI ROAD,RAMNAGAR / 244715"/>
    <s v="381529262903 - 29/11/2022 22:32:00"/>
    <s v="MPR/22-23/3601"/>
    <d v="2022-11-29T00:00:00"/>
    <n v="1190595"/>
    <n v="214307.1"/>
    <x v="33"/>
    <s v="CEFIXIME T.H.COMPACTED IP (COVALENT)"/>
    <s v="UK18CA3698"/>
    <n v="18"/>
  </r>
  <r>
    <s v="321529425636"/>
    <s v="05AAJFB5728K1ZA / Blize Printers (2022-23)"/>
    <s v="05AAECM6380J1ZA / M.R. HEALTHCARE PVT. LTD."/>
    <s v="BHAGWANPUR / 247661"/>
    <s v="Ramnagar / 244715"/>
    <s v="321529425636 - 29/11/2022 22:32:00"/>
    <s v="BP/22-23/2797"/>
    <d v="2022-11-29T00:00:00"/>
    <n v="128123.9"/>
    <n v="23062.32"/>
    <x v="8"/>
    <s v="Carton"/>
    <s v="UK18CA3698"/>
    <n v="18.000014048901104"/>
  </r>
  <r>
    <s v="311529038741"/>
    <s v="05ABIPT0216G1ZY / M/S Gautam Minirals Chemicals"/>
    <s v="05AAECM6380J1ZA / M/S M R HealthCare Pvt. Ltd."/>
    <s v="Nainital / 263139"/>
    <s v="Ramnagar / 244715"/>
    <s v="311529038741 - 29/11/2022 10:18:00"/>
    <s v="22-23/360"/>
    <d v="2022-11-29T00:00:00"/>
    <n v="199750"/>
    <n v="23970"/>
    <x v="16"/>
    <m/>
    <s v="UK06CB6728"/>
    <n v="12"/>
  </r>
  <r>
    <s v="311528841421"/>
    <s v="05AEHPA3659L1ZG / M/S PRAKASH TRADERS RAMNAGAR"/>
    <s v="05AAECM6380J1ZA / M/S M R HealthCare Pvt. Ltd."/>
    <s v="Udham Singh Nagar / 244713"/>
    <s v="Ramnagar / 244715"/>
    <s v="311528841421 - 28/11/2022 17:33:00"/>
    <n v="671"/>
    <d v="2022-11-28T00:00:00"/>
    <n v="85783.91"/>
    <n v="15441.1"/>
    <x v="74"/>
    <s v="PVC PIPES FITTINGS"/>
    <s v="UK18CA2068"/>
    <n v="17.999995570264865"/>
  </r>
  <r>
    <s v="391528793647"/>
    <s v="05ABAPK2139D1ZB / MOHIT TRADERS(22-23)"/>
    <s v="05AAECM6380J1ZA / M R Healthcare Pvt Ltd"/>
    <s v="KHURJA / 203129"/>
    <s v="KASHIPUR / 244715"/>
    <s v="391528793647 - 28/11/2022 16:38:00"/>
    <s v="MT/02148/22-23"/>
    <d v="2022-11-28T00:00:00"/>
    <n v="178000"/>
    <n v="8900"/>
    <x v="15"/>
    <s v="Sugar"/>
    <s v="UP38T3470"/>
    <n v="5"/>
  </r>
  <r>
    <s v="331527807730"/>
    <s v="05AABFO5340E1ZQ / OM SAI PHARMA PACK"/>
    <s v="05AAECM6380J1ZA / M.R. HEALTHCARE PVT. LTD."/>
    <s v="Uttarakhand / 249403"/>
    <s v="Nainital / 244715"/>
    <s v="331527807730 - 26/11/2022 20:30:00"/>
    <n v="11492"/>
    <d v="2022-11-25T00:00:00"/>
    <n v="47236.05"/>
    <n v="8502.48"/>
    <x v="9"/>
    <s v="LAMITUBE VINAC-CP 15GM"/>
    <s v="UK18CA3698"/>
    <n v="17.999980946755709"/>
  </r>
  <r>
    <s v="301528265152"/>
    <s v="05ABSFA7387F1Z0 / AASTHA MEDI SOLUTIONS"/>
    <s v="05AAECM6380J1ZA / M/S M R HealthCare Pvt. Ltd."/>
    <s v="Haridwar / 247667"/>
    <s v="Ramnagar / 244715"/>
    <s v="301528265152 - 26/11/2022 18:33:00"/>
    <n v="909"/>
    <d v="2022-11-26T00:00:00"/>
    <n v="65431.8"/>
    <n v="11777.72"/>
    <x v="14"/>
    <s v="PRINTED ALUMINUM FOIL"/>
    <s v="UK18CA3698"/>
    <n v="17.999993886764539"/>
  </r>
  <r>
    <s v="321527784469"/>
    <s v="05AASFR5565R1Z4 / M/S ROORKEE FOIL"/>
    <s v="05AAECM6380J1ZA / M/S M R HealthCare Pvt. Ltd."/>
    <s v="Haridwar / 247667"/>
    <s v="Ramnagar / 244715"/>
    <s v="321527784469 - 26/11/2022 00:01:00"/>
    <s v="RK/22-23/1855"/>
    <d v="2022-11-25T00:00:00"/>
    <n v="45873.03"/>
    <n v="8257.14"/>
    <x v="20"/>
    <s v="BLISTER FOIL PRINTED"/>
    <s v="UK18CA4767"/>
    <n v="17.99998822837733"/>
  </r>
  <r>
    <s v="391527779820"/>
    <s v="05AAFCH1159K1ZL / HARIDWAR FOILS PRIVATE LIMITED"/>
    <s v="05AAECM6380J1ZA / M/S M R HealthCare Pvt. Ltd."/>
    <s v="Haridwar / 249403"/>
    <s v="Ramnagar / 244715"/>
    <s v="391527779820 - 25/11/2022 20:50:00"/>
    <n v="539"/>
    <d v="2022-11-25T00:00:00"/>
    <n v="66054.600000000006"/>
    <n v="11889.82"/>
    <x v="20"/>
    <s v="BLISTER"/>
    <s v="UK18CA4767"/>
    <n v="17.999987888807137"/>
  </r>
  <r>
    <s v="331527622344"/>
    <s v="05AAQCS5989R1ZZ / M/S SATYAM SHIVAM PACKAGING PRIVATE LIMITED"/>
    <s v="05AAECM6380J1ZA / M/S M R HealthCare Pvt. Ltd."/>
    <s v="Udham Singh Nagar / 263153"/>
    <s v="Ramnagar / 244715"/>
    <s v="331527622344 - 25/11/2022 13:29:00"/>
    <s v="SSP/22-23/1293"/>
    <d v="2022-11-25T00:00:00"/>
    <n v="43531"/>
    <n v="7835.58"/>
    <x v="18"/>
    <s v="590X425X280 (5 PLY C BOX)"/>
    <s v="UK06CB0108"/>
    <n v="18"/>
  </r>
  <r>
    <s v="361527276997"/>
    <s v="05FYDPS0716P2ZZ / Pharma Pack"/>
    <s v="05AAECM6380J1ZA / M.R. Healthcare Pvt Ltd"/>
    <s v="Roorkee / 247661"/>
    <s v="/ 244715"/>
    <s v="361527276997 - 24/11/2022 23:43:00"/>
    <s v="PP/331"/>
    <d v="2022-11-24T00:00:00"/>
    <n v="84438"/>
    <n v="15198.84"/>
    <x v="14"/>
    <s v="Aluminium Printing Foil"/>
    <s v="UK18CA4773"/>
    <n v="18"/>
  </r>
  <r>
    <s v="311527235795"/>
    <s v="05AASCA1024D1Z6 / AJANTA BOTTLE PRIVATE LIMITED"/>
    <s v="05AAECM6380J1ZA / M/S M R HealthCare Pvt. Ltd."/>
    <s v="ROORKEE / 247667"/>
    <s v="Ramnagar / 244715"/>
    <s v="311527235795 - 24/11/2022 23:43:00"/>
    <s v="22R555"/>
    <d v="2022-11-24T00:00:00"/>
    <n v="25875"/>
    <n v="3105"/>
    <x v="2"/>
    <s v="30 ML S.W.F.I. IP (SUNRISE)"/>
    <s v="UK18CA4773"/>
    <n v="12"/>
  </r>
  <r>
    <s v="361527055268"/>
    <s v="05ABMFA2598N1ZU / A ONE TRADERS"/>
    <s v="05AAECM6380J1ZA / M/S M R HealthCare Pvt. Ltd."/>
    <s v="Haridwar / 249402"/>
    <s v="Ramnagar / 244715"/>
    <s v="361527055268 - 24/11/2022 19:15:00"/>
    <s v="AOT/802"/>
    <d v="2022-11-24T00:00:00"/>
    <n v="60000"/>
    <n v="10800"/>
    <x v="5"/>
    <s v="EMPTY CAPSULE SHELL"/>
    <s v="UK18CA4773"/>
    <n v="18"/>
  </r>
  <r>
    <s v="381526810312"/>
    <s v="05ABNPA6018N2ZK / Manish Pharma"/>
    <s v="05AAECM6380J1ZA / MR HEALTHCARE PVT LTD"/>
    <s v="ROORKEE / 247667"/>
    <s v="KOSI ROAD,RAMNAGAR / 244715"/>
    <s v="381526810312 - 23/11/2022 23:20:00"/>
    <s v="MPR/22-23/3504"/>
    <d v="2022-11-23T00:00:00"/>
    <n v="550275"/>
    <n v="99049.5"/>
    <x v="19"/>
    <s v="PARACETAMOL IP (MAKE:-FARMSON)"/>
    <s v="UK17CA4358"/>
    <n v="18"/>
  </r>
  <r>
    <s v="391526893176"/>
    <s v="05AAJFB5728K1ZA / Blize Printers (2022-23)"/>
    <s v="05AAECM6380J1ZA / M.R. HEALTHCARE PVT. LTD."/>
    <s v="BHAGWANPUR / 247661"/>
    <s v="Ramnagar / 244715"/>
    <s v="391526893176 - 23/11/2022 23:20:00"/>
    <s v="BP/22-23/2715"/>
    <d v="2022-11-23T00:00:00"/>
    <n v="93380.7"/>
    <n v="16808.52"/>
    <x v="8"/>
    <s v="Carton"/>
    <s v="UK17CA4358"/>
    <n v="17.999993574689416"/>
  </r>
  <r>
    <s v="341526132681"/>
    <s v="05ABNPA6018N2ZK / Manish Pharma"/>
    <s v="05AAECM6380J1ZA / MR HEALTHCARE PVT LTD"/>
    <s v="ROORKEE / 247667"/>
    <s v="KOSI ROAD,RAMNAGAR / 244715"/>
    <s v="341526132681 - 22/11/2022 23:23:00"/>
    <s v="MPR/22-23/3468"/>
    <d v="2022-11-22T00:00:00"/>
    <n v="550275"/>
    <n v="99049.5"/>
    <x v="19"/>
    <s v="PARACETAMOL - IP ( MAKE - SARA )"/>
    <s v="UK17CA4284"/>
    <n v="18"/>
  </r>
  <r>
    <s v="331525815665"/>
    <s v="05ABNPA6018N2ZK / Manish Pharma"/>
    <s v="05AAECM6380J1ZA / MR HEALTHCARE PVT LTD"/>
    <s v="ROORKEE / 247667"/>
    <s v="KOSI ROAD,RAMNAGAR / 244715"/>
    <s v="331525815665 - 21/11/2022 22:06:00"/>
    <s v="MPR/22-23/3436"/>
    <d v="2022-11-21T00:00:00"/>
    <n v="555277.5"/>
    <n v="99949.96"/>
    <x v="19"/>
    <s v="PARACETAMOL IP (MAKE:-FARMSON)"/>
    <s v="UK17CA1878"/>
    <n v="18.000001800901352"/>
  </r>
  <r>
    <s v="321525962012"/>
    <s v="05AAJFB5728K1ZA / Blize Printers (2022-23)"/>
    <s v="05AAECM6380J1ZA / M.R. HEALTHCARE PVT. LTD."/>
    <s v="BHAGWANPUR / 247661"/>
    <s v="Ramnagar / 244715"/>
    <s v="321525962012 - 21/11/2022 22:06:00"/>
    <s v="BP/22-23/2686"/>
    <d v="2022-11-21T00:00:00"/>
    <n v="27348.6"/>
    <n v="4922.74"/>
    <x v="8"/>
    <s v="Carton"/>
    <s v="UK17CA1878"/>
    <n v="17.999970748045605"/>
  </r>
  <r>
    <s v="381525754152"/>
    <s v="05ALGPC9789H1ZQ / OM PHARMACEUTICALS"/>
    <s v="05AAECM6380J1ZA / M/S M R HealthCare Pvt. Ltd."/>
    <s v="Haridwar / 249402"/>
    <s v="Ramnagar / 244715"/>
    <s v="381525754152 - 21/11/2022 20:09:00"/>
    <s v="OP/00297/2022-23"/>
    <d v="2022-11-21T00:00:00"/>
    <n v="61150"/>
    <n v="11007"/>
    <x v="75"/>
    <s v="SORBITOL SOLUTION IP"/>
    <s v="UK17CA1878"/>
    <n v="18"/>
  </r>
  <r>
    <s v="311525961016"/>
    <s v="05AAUCS2953B1ZA / VIVA PACK PVT. LTD."/>
    <s v="05AAECM6380J1ZA / M.R HEALTHCARE PVT LTD."/>
    <s v="Roorkee / 247667"/>
    <s v="UTTARAKHAND / 244715"/>
    <s v="311525961016 - 21/11/2022 19:46:00"/>
    <s v="GST-2223-1557"/>
    <d v="2022-11-21T00:00:00"/>
    <n v="125866.56"/>
    <n v="22655.98"/>
    <x v="17"/>
    <s v="PET BOTTLES 10ML 5GM RD AMB 2688"/>
    <s v="UK17CA1878"/>
    <n v="17.999999364406243"/>
  </r>
  <r>
    <s v="371525250842"/>
    <s v="05AASFR5565R1Z4 / M/S ROORKEE FOIL"/>
    <s v="05AAECM6380J1ZA / M/S M R HealthCare Pvt. Ltd."/>
    <s v="Haridwar / 247667"/>
    <s v="Ramnagar / 244715"/>
    <s v="371525250842 - 19/11/2022 22:38:00"/>
    <s v="RK/22-23/1800"/>
    <d v="2022-11-19T00:00:00"/>
    <n v="56942.400000000001"/>
    <n v="10249.64"/>
    <x v="20"/>
    <s v="BLISTER FOIL PRINTED"/>
    <s v="UK18CA4767"/>
    <n v="18.000014049284889"/>
  </r>
  <r>
    <s v="381525036539"/>
    <s v="04AAKFM1274G1ZG / DPB ANTIBIOTICS"/>
    <s v="05AAECM6380J1ZA / M R Healthcare Pvt Ltd"/>
    <s v="CHANDIGARH / 160101"/>
    <s v="UTTARAKHAND / 244715"/>
    <s v="381525036539 - 19/11/2022 18:36:00"/>
    <s v="CHN001807"/>
    <d v="2022-11-18T00:00:00"/>
    <n v="40000"/>
    <n v="7200"/>
    <x v="76"/>
    <s v="SODIUM ASCORBATE IP"/>
    <s v="UK06CB2042"/>
    <n v="18"/>
  </r>
  <r>
    <s v="341525277024"/>
    <s v="05ADVFS5795G1Z9 / Shri Krishna Polymer"/>
    <s v="05AAECM6380J1ZA / M,R HEALTHCARE PVT LTD"/>
    <s v="ROORKEE / 247667"/>
    <s v="Ramnagar / 244715"/>
    <s v="341525277024 - 19/11/2022 18:07:00"/>
    <n v="997"/>
    <d v="2022-11-19T00:00:00"/>
    <n v="42431.4"/>
    <n v="7637.66"/>
    <x v="12"/>
    <s v="0.25x198mmamber Pvc Film"/>
    <s v="UK18CA4767"/>
    <n v="18.000018853961922"/>
  </r>
  <r>
    <s v="331524767185"/>
    <s v="05AAJFB5728K1ZA / Blize Printers (2022-23)"/>
    <s v="05AAECM6380J1ZA / M.R. HEALTHCARE PVT. LTD."/>
    <s v="BHAGWANPUR / 247661"/>
    <s v="Ramnagar / 244715"/>
    <s v="331524767185 - 18/11/2022 23:54:00"/>
    <s v="BP/22-23/2659"/>
    <d v="2022-11-18T00:00:00"/>
    <n v="256068"/>
    <n v="46092.24"/>
    <x v="8"/>
    <s v="Carton"/>
    <s v="UK17CA4642"/>
    <n v="18"/>
  </r>
  <r>
    <s v="371524371058"/>
    <s v="06AYEPS2518M1Z4 / FORTUNE SOURCING"/>
    <s v="05AAECM6380J1ZA / M/S M R HealthCare Pvt. Ltd."/>
    <s v="Gurugram / 122001"/>
    <s v="Ramnagar / 244715"/>
    <s v="371524371058 - 18/11/2022 22:30:00"/>
    <s v="FS/0228/2022-23"/>
    <d v="2022-11-17T00:00:00"/>
    <n v="25939.200000000001"/>
    <n v="4669.0600000000004"/>
    <x v="10"/>
    <s v="LAMI TUBE"/>
    <s v="UK06CA1492"/>
    <n v="18.000015420676043"/>
  </r>
  <r>
    <s v="351524696009"/>
    <s v="05ADVFS5795G1Z9 / Shri Krishna Polymer"/>
    <s v="05AAECM6380J1ZA / M,R HEALTHCARE PVT LTD"/>
    <s v="ROORKEE / 247667"/>
    <s v="Ramnagar / 244715"/>
    <s v="351524696009 - 18/11/2022 16:02:00"/>
    <n v="993"/>
    <d v="2022-11-18T00:00:00"/>
    <n v="75285.75"/>
    <n v="13551.44"/>
    <x v="6"/>
    <s v="METTALISED PVC SILVER"/>
    <s v="UK17CA4642"/>
    <n v="18.000006641363072"/>
  </r>
  <r>
    <s v="391524223474"/>
    <s v="05ANTPS9188H1Z0 / G K PHARMA"/>
    <s v="05AAECM6380J1ZA / MR HEALTHCARE PVT LTD"/>
    <s v="ROORKEE / 247667"/>
    <s v="Ramnagar / 244715"/>
    <s v="391524223474 - 18/11/2022 01:46:00"/>
    <s v="GKUK/1186/22-23"/>
    <d v="2022-11-17T00:00:00"/>
    <n v="93500"/>
    <n v="16830"/>
    <x v="5"/>
    <m/>
    <s v="UK17CA4284"/>
    <n v="18"/>
  </r>
  <r>
    <s v="341524382882"/>
    <s v="05AAJFB5728K1ZA / Blize Printers (2022-23)"/>
    <s v="05AAECM6380J1ZA / M.R. HEALTHCARE PVT. LTD."/>
    <s v="BHAGWANPUR / 247661"/>
    <s v="Ramnagar / 244715"/>
    <s v="341524382882 - 18/11/2022 01:46:00"/>
    <s v="BP/22-23/2648"/>
    <d v="2022-11-17T00:00:00"/>
    <n v="43620.05"/>
    <n v="7851.62"/>
    <x v="8"/>
    <s v="Carton"/>
    <s v="UK17CA4284"/>
    <n v="18.000025217761099"/>
  </r>
  <r>
    <s v="331523763605"/>
    <s v="05AASFR5565R1Z4 / M/S ROORKEE FOIL"/>
    <s v="05AAECM6380J1ZA / M/S M R HealthCare Pvt. Ltd."/>
    <s v="Haridwar / 247667"/>
    <s v="Ramnagar / 244715"/>
    <s v="331523763605 - 16/11/2022 23:06:00"/>
    <s v="RK/22-23/1759"/>
    <d v="2022-11-15T00:00:00"/>
    <n v="80279.95"/>
    <n v="14450.4"/>
    <x v="20"/>
    <s v="BLISTER FOIL PRINTED"/>
    <s v="UK18TA0659"/>
    <n v="18.000011210769316"/>
  </r>
  <r>
    <s v="301523698072"/>
    <s v="05AABCA8568R1ZZ / ABS Mercantiles Pvt. Ltd."/>
    <s v="05AAECM6380J1ZA / M.R. HEALTHCARE PVT. LTD."/>
    <s v="UTTARAKHAND / 247667"/>
    <s v="Ram Nagar / 244715"/>
    <s v="301523698072 - 16/11/2022 23:06:00"/>
    <s v="ABSR/22-23/0581"/>
    <d v="2022-11-16T00:00:00"/>
    <n v="122715"/>
    <n v="22088"/>
    <x v="1"/>
    <s v="Itraconazole Pellets 22% BP"/>
    <s v="UK18TA0659"/>
    <n v="17.999429572586887"/>
  </r>
  <r>
    <s v="331523197242"/>
    <s v="03AAACA5579P1ZB / AJANTA PHARMA LIMITED 140603"/>
    <s v="05AAECM6380J1ZA / M.R. HEALTHCARE PVT. LTD."/>
    <s v="Village Pabhat Zirakpur Dist Sahibzada / 140603"/>
    <s v="Ramnagar / 244715"/>
    <s v="331523197242 - 15/11/2022 15:32:00"/>
    <n v="5000541318"/>
    <d v="2022-08-23T00:00:00"/>
    <n v="22800"/>
    <n v="2736"/>
    <x v="77"/>
    <m/>
    <s v="UK18CA8399"/>
    <n v="12"/>
  </r>
  <r>
    <s v="351523192946"/>
    <s v="03AAACA5579P1ZB / AJANTA PHARMA LIMITED 140603"/>
    <s v="05AAECM6380J1ZA / M.R. HEALTHCARE PVT. LTD."/>
    <s v="Village Pabhat Zirakpur Dist Sahibzada / 140603"/>
    <s v="Ramnagar / 244715"/>
    <s v="351523192946 - 15/11/2022 15:26:00"/>
    <n v="5000528887"/>
    <d v="2022-07-19T00:00:00"/>
    <n v="2912"/>
    <n v="349.44"/>
    <x v="77"/>
    <m/>
    <s v="UK18CA8399"/>
    <n v="12"/>
  </r>
  <r>
    <s v="361523165714"/>
    <s v="05ABIPR7951C1ZK / M/S SUPER AGENCIES"/>
    <s v="05AAECM6380J1ZA / M/S M R HealthCare Pvt. Ltd."/>
    <s v="Udham Singh Nagar / 244713"/>
    <s v="Ramnagar / 244715"/>
    <s v="361523165714 - 15/11/2022 14:46:00"/>
    <s v="2022-23/SA-504"/>
    <d v="2022-11-15T00:00:00"/>
    <n v="262055"/>
    <n v="47169.9"/>
    <x v="78"/>
    <s v="DEF PROME SAFE"/>
    <s v="UK18CA6958"/>
    <n v="18"/>
  </r>
  <r>
    <s v="311522772495"/>
    <s v="05AAJFB5728K1ZA / Blize Printers (2022-23)"/>
    <s v="05AAECM6380J1ZA / M.R. HEALTHCARE PVT. LTD."/>
    <s v="BHAGWANPUR / 247661"/>
    <s v="Ramnagar / 244715"/>
    <s v="311522772495 - 14/11/2022 23:09:00"/>
    <s v="BP/22-23/2582"/>
    <d v="2022-11-13T00:00:00"/>
    <n v="113828.5"/>
    <n v="20489.14"/>
    <x v="8"/>
    <s v="Carton"/>
    <s v="UK17CA4642"/>
    <n v="18.000008785146075"/>
  </r>
  <r>
    <s v="311522923527"/>
    <s v="05ABDFR7819N1ZO / M/s R K Packwel Industries"/>
    <s v="05AAECM6380J1ZA / MR Healthcare Pvt. Ltd."/>
    <s v="Sitarganj / 262405"/>
    <s v="Ramnagar / 244715"/>
    <s v="311522923527 - 14/11/2022 21:21:00"/>
    <s v="RKP/22-23/322"/>
    <d v="2022-11-14T00:00:00"/>
    <n v="230740"/>
    <n v="41533.199999999997"/>
    <x v="79"/>
    <s v="Polythene Sheets &amp; Bag"/>
    <s v="UK04CA8868"/>
    <n v="17.999999999999996"/>
  </r>
  <r>
    <s v="351522712716"/>
    <s v="05ALGPC9789H1ZQ / OM PHARMACEUTICALS"/>
    <s v="05AAECM6380J1ZA / M/S M R HealthCare Pvt. Ltd."/>
    <s v="Haridwar / 249402"/>
    <s v="Ramnagar / 244715"/>
    <s v="351522712716 - 14/11/2022 20:39:00"/>
    <s v="OP/00288/2022-23"/>
    <d v="2022-11-14T00:00:00"/>
    <n v="107625"/>
    <n v="19372.5"/>
    <x v="22"/>
    <s v="ASPARTAME POWDER"/>
    <s v="UK17CA4642"/>
    <n v="18"/>
  </r>
  <r>
    <s v="331521655458"/>
    <s v="02AAGCE0933K1ZX / ENROBAGE INDIA PRIVATE LIMITED"/>
    <s v="05AAECM6380J1ZA / M/S M R HealthCare Pvt. Ltd."/>
    <s v="Sirmaur / 173030"/>
    <s v="Ramnagar / 244715"/>
    <s v="331521655458 - 13/11/2022 18:01:00"/>
    <s v="EIPL-561"/>
    <d v="2022-11-11T00:00:00"/>
    <n v="76152"/>
    <n v="13707.36"/>
    <x v="46"/>
    <s v="PHARMA RAW MATERIAL"/>
    <s v="HR68A3549"/>
    <n v="18"/>
  </r>
  <r>
    <s v="321522206872"/>
    <s v="05KBGPS5273E1ZC / SUNDERAM PACKAGING"/>
    <s v="05AAECM6380J1ZA / M/S M R HealthCare Pvt. Ltd."/>
    <s v="Udham Singh Nagar / 263153"/>
    <s v="Ramnagar / 244715"/>
    <s v="321522206872 - 13/11/2022 05:12:00"/>
    <s v="SP420"/>
    <d v="2022-11-12T00:00:00"/>
    <n v="51071.4"/>
    <n v="9192.86"/>
    <x v="47"/>
    <s v="FOIL"/>
    <s v="UK06CB1942"/>
    <n v="18.000015664344428"/>
  </r>
  <r>
    <s v="391522187015"/>
    <s v="05AAJFG0319D1ZZ / GANESH METAL INDUSTRIES"/>
    <s v="05AAECM6380J1ZA / MR HEALTH CARE"/>
    <s v="ROORKEE / 247667"/>
    <s v="Ramnagar / 244715"/>
    <s v="391522187015 - 13/11/2022 00:02:00"/>
    <s v="GMI/22-23/0776"/>
    <d v="2022-11-12T00:00:00"/>
    <n v="44880"/>
    <n v="8078.4"/>
    <x v="80"/>
    <s v="PP CAP PLAIN SILVER 22MM31104"/>
    <s v="UK17CA4284"/>
    <n v="18"/>
  </r>
  <r>
    <s v="381522215511"/>
    <s v="05ACPFS1430H1Z7 / M/S SWASTIK ART CREATIONS"/>
    <s v="05AAECM6380J1ZA / M/S M R HealthCare Pvt. Ltd."/>
    <s v="Haridwar / 247667"/>
    <s v="Ramnagar / 244715"/>
    <s v="381522215511 - 13/11/2022 00:02:00"/>
    <s v="S/1013/22-23"/>
    <d v="2022-11-12T00:00:00"/>
    <n v="90135.35"/>
    <n v="16224.36"/>
    <x v="4"/>
    <s v="CARTONS"/>
    <s v="UK17CA4284"/>
    <n v="17.9999966716721"/>
  </r>
  <r>
    <s v="361522224751"/>
    <s v="05AAJFB5728K1ZA / Blize Printers (2022-23)"/>
    <s v="05AAECM6380J1ZA / M.R. HEALTHCARE PVT. LTD."/>
    <s v="BHAGWANPUR / 247661"/>
    <s v="Ramnagar / 244715"/>
    <s v="361522224751 - 13/11/2022 00:02:00"/>
    <s v="BP/22-23/2577"/>
    <d v="2022-11-12T00:00:00"/>
    <n v="102357.8"/>
    <n v="18424.400000000001"/>
    <x v="8"/>
    <s v="Carton"/>
    <s v="UK17CA4284"/>
    <n v="17.999996092139536"/>
  </r>
  <r>
    <s v="311522225270"/>
    <s v="05AAJFB5728K1ZA / Blize Printers (2022-23)"/>
    <s v="05AAECM6380J1ZA / M.R. HEALTHCARE PVT. LTD."/>
    <s v="BHAGWANPUR / 247661"/>
    <s v="Ramnagar / 244715"/>
    <s v="311522225270 - 13/11/2022 00:02:00"/>
    <s v="BP/22-23/2578"/>
    <d v="2022-11-12T00:00:00"/>
    <n v="30220"/>
    <n v="5439.6"/>
    <x v="8"/>
    <s v="Carton"/>
    <s v="UK17CA4284"/>
    <n v="18"/>
  </r>
  <r>
    <s v="371522288130"/>
    <s v="05ABSFA7387F1Z0 / AASTHA MEDI SOLUTIONS"/>
    <s v="05AAECM6380J1ZA / M/S M R HealthCare Pvt. Ltd."/>
    <s v="Haridwar / 247667"/>
    <s v="Ramnagar / 244715"/>
    <s v="371522288130 - 12/11/2022 19:29:00"/>
    <n v="832"/>
    <d v="2022-11-12T00:00:00"/>
    <n v="67475.899999999994"/>
    <n v="12145.66"/>
    <x v="14"/>
    <s v="PRINTED ALUMINUM FOIL"/>
    <s v="UK17CA4284"/>
    <n v="17.999997035978772"/>
  </r>
  <r>
    <s v="381521266130"/>
    <s v="05AASFR5565R1Z4 / M/S ROORKEE FOIL"/>
    <s v="05AAECM6380J1ZA / M/S M R HealthCare Pvt. Ltd."/>
    <s v="Haridwar / 247667"/>
    <s v="Ramnagar / 244715"/>
    <s v="381521266130 - 10/11/2022 22:07:00"/>
    <s v="RK/22-23/1717"/>
    <d v="2022-11-10T00:00:00"/>
    <n v="44221.1"/>
    <n v="7959.8"/>
    <x v="81"/>
    <s v="STRIP FOIL PRINTED AND PLAIN"/>
    <s v="UK18CA4303"/>
    <n v="18.000004522727838"/>
  </r>
  <r>
    <s v="361529351375"/>
    <s v="05ACPFS1430H1Z7 / M/S SWASTIK ART CREATIONS"/>
    <s v="05AAECM6380J1ZA / M/S M R HealthCare Pvt. Ltd."/>
    <s v="Haridwar / 247667"/>
    <s v="Ramnagar / 244715"/>
    <s v="361529351375 - 29/11/2022 22:32:00"/>
    <s v="S/1082/22-23"/>
    <d v="2022-11-29T00:00:00"/>
    <n v="46727"/>
    <n v="8410.86"/>
    <x v="4"/>
    <s v="CARTONS"/>
    <s v="UK18CA3698"/>
    <n v="18"/>
  </r>
  <r>
    <s v="331524773702"/>
    <s v="05CHTPG1810J1ZD / VAIBHAV LAXMI ENTERPRISES"/>
    <s v="05AAECM6380J1ZA / M/S M R HealthCare Pvt. Ltd."/>
    <s v="Udham Singh Nagar / 244713"/>
    <s v="Ramnagar / 244715"/>
    <s v="331524773702 - 18/11/2022 17:33:00"/>
    <n v="185"/>
    <d v="2022-11-18T00:00:00"/>
    <n v="42578"/>
    <n v="7664.04"/>
    <x v="23"/>
    <m/>
    <s v="UK06CA4363"/>
    <n v="18"/>
  </r>
  <r>
    <s v="281513133281"/>
    <s v="27AABCS4582P1ZP / SHUBHAM PHARMACHEM PVT LTD"/>
    <s v="05AAECM6380J1ZA / M/S M R HealthCare Pvt. Ltd."/>
    <s v="RAHNAL VILLAGE BHIWANDI  THANE / 421302"/>
    <s v="Ramnagar / 244715"/>
    <s v="281513133281 - 26/11/2022 18:26:00"/>
    <s v="SPPL/22-23/D3648"/>
    <d v="2022-11-25T00:00:00"/>
    <n v="40000"/>
    <n v="7200"/>
    <x v="82"/>
    <s v="USP"/>
    <s v="UK18CA4767"/>
    <n v="18"/>
  </r>
  <r>
    <s v="291512250993"/>
    <s v="27AABCS4582P1ZP / SHUBHAM PHARMACHEM PVT LTD"/>
    <s v="05AAECM6380J1ZA / M/S M R HealthCare Pvt. Ltd."/>
    <s v="RAHNAL VILLAGE BHIWANDI  THANE / 421302"/>
    <s v="Ramnagar / 244715"/>
    <s v="291512250993 - 24/11/2022 23:19:00"/>
    <s v="SPPL/22-23/D3619"/>
    <d v="2022-11-23T00:00:00"/>
    <n v="101000"/>
    <n v="18180"/>
    <x v="7"/>
    <s v="IP"/>
    <s v="HR38AB4032"/>
    <n v="18"/>
  </r>
  <r>
    <s v="251512447720"/>
    <s v="27AAJFN1731A1ZQ / NEELRAJ EXIM"/>
    <s v="05AAECM6380J1ZA / M/S M R HealthCare Pvt. Ltd."/>
    <s v="Muzaffarnagar / 251203"/>
    <s v="Ramnagar / 244715"/>
    <s v="251512447720 - 24/11/2022 16:36:00"/>
    <n v="220293"/>
    <d v="2022-11-24T00:00:00"/>
    <n v="810000"/>
    <n v="145800"/>
    <x v="19"/>
    <s v="PARACETAMOL IP"/>
    <s v="UP12BT5163"/>
    <n v="18"/>
  </r>
  <r>
    <s v="241511268570"/>
    <s v="27AAECA1503D1ZE / ABIL CHEMPHARMA PVT. LTD."/>
    <s v="05AAECM6380J1ZA / M.R.HEALTH CARE PVT.LTD.,"/>
    <s v="THANE / 421302"/>
    <s v="Nainital / 244715"/>
    <s v="241511268570 - 22/11/2022 23:51:00"/>
    <s v="M/2022-23/002108"/>
    <d v="2022-11-21T00:00:00"/>
    <n v="210000"/>
    <n v="37800"/>
    <x v="1"/>
    <s v="DEFLAZACORT"/>
    <s v="HR38AB4032"/>
    <n v="18"/>
  </r>
  <r>
    <s v="291509811899"/>
    <s v="27AAFCS9959Q1Z4 / SNEHA MEDICARE PVT LTD"/>
    <s v="05AAECM6380J1ZA / MR HEALTHCARE PVTLTD"/>
    <s v="BHIWANDI / 421302"/>
    <s v="DISTNAINITAL, / 244715"/>
    <s v="291509811899 - 22/11/2022 18:39:00"/>
    <s v="H06458"/>
    <d v="2022-11-18T00:00:00"/>
    <n v="46500"/>
    <n v="8370"/>
    <x v="40"/>
    <m/>
    <s v="DL01GC9973"/>
    <n v="18"/>
  </r>
  <r>
    <s v="251510922500"/>
    <s v="27AABCP3959K1ZZ / PRAGATI RAW PHARMA PVT. LTD."/>
    <s v="05AAECM6380J1ZA / M.R.HEALTHCARE PVT LTD"/>
    <s v="BHIWANDI / 421302"/>
    <s v="Nainital / 244715"/>
    <s v="251510922500 - 22/11/2022 18:39:00"/>
    <s v="2022-23/M1611"/>
    <d v="2022-11-21T00:00:00"/>
    <n v="171250"/>
    <n v="30825"/>
    <x v="33"/>
    <s v="OFLOXACIN"/>
    <s v="DL01GC9973"/>
    <n v="18"/>
  </r>
  <r>
    <s v="261507817890"/>
    <s v="27AAFCS9959Q1Z4 / SNEHA MEDICARE PVT LTD"/>
    <s v="05AAECM6380J1ZA / MR HEALTHCARE PVTLTD"/>
    <s v="BHIWANDI / 421302"/>
    <s v="DISTNAINITAL, / 244715"/>
    <s v="261507817890 - 17/11/2022 14:46:00"/>
    <s v="H06301"/>
    <d v="2022-11-14T00:00:00"/>
    <n v="72500"/>
    <n v="13050"/>
    <x v="41"/>
    <m/>
    <s v="DL01GC8971"/>
    <n v="18"/>
  </r>
  <r>
    <s v="201506840451"/>
    <s v="27AAACU6175D1ZC / UNNATI PHARMACEUTICALS PVT LTD"/>
    <s v="05AAECM6380J1ZA / M R HEALTHCARE PVT LTD"/>
    <s v="Dist Thane / 421302"/>
    <s v="Ramnagar / 244715"/>
    <s v="201506840451 - 15/11/2022 17:40:00"/>
    <s v="MUMB004979"/>
    <d v="2022-11-11T00:00:00"/>
    <n v="219741.72"/>
    <n v="39553.51"/>
    <x v="83"/>
    <s v="DOXOFYLLINE IP"/>
    <s v="HR55X8087"/>
    <n v="18.000000182031886"/>
  </r>
  <r>
    <s v="211507331548"/>
    <s v="27AAEPM1479M1Z9 / MONARCH PHARMACHEM"/>
    <s v="05AAECM6380J1ZA / M R HEALTHCARE PVT LTD"/>
    <s v="BHIWANDI / 421302"/>
    <s v="UTTARAKHAND / 244715"/>
    <s v="211507331548 - 14/11/2022 18:53:00"/>
    <n v="2707"/>
    <d v="2022-11-12T00:00:00"/>
    <n v="188689"/>
    <n v="33964.019999999997"/>
    <x v="1"/>
    <s v="MONTELUKAST SODIUM IP"/>
    <s v="HR38T0499"/>
    <n v="17.999999999999996"/>
  </r>
  <r>
    <s v="261507084788"/>
    <s v="27AAFCS9959Q1Z4 / SNEHA MEDICARE PVT LTD"/>
    <s v="05AAECM6380J1ZA / MR HEALTHCARE PVTLTD"/>
    <s v="BHIWANDI / 421302"/>
    <s v="DISTNAINITAL, / 244715"/>
    <s v="261507084788 - 14/11/2022 17:52:00"/>
    <s v="H06249"/>
    <d v="2022-11-12T00:00:00"/>
    <n v="176750"/>
    <n v="31815"/>
    <x v="34"/>
    <m/>
    <s v="DL01MA0529"/>
    <n v="18"/>
  </r>
  <r>
    <s v="221506854461"/>
    <s v="27AABCP3959K1ZZ / PRAGATI RAW PHARMA PVT. LTD."/>
    <s v="05AAECM6380J1ZA / M.R.HEALTHCARE PVT LTD"/>
    <s v="BHIWANDI / 421302"/>
    <s v="Nainital / 244715"/>
    <s v="221506854461 - 14/11/2022 17:52:00"/>
    <s v="2022-23/M1533"/>
    <d v="2022-11-11T00:00:00"/>
    <n v="685000"/>
    <n v="123300"/>
    <x v="33"/>
    <s v="OFLOXACIN"/>
    <s v="DL01MA0529"/>
    <n v="18"/>
  </r>
  <r>
    <s v="271502324260"/>
    <s v="27AACPS7188P1ZP / FILTER WOVEN INDIA"/>
    <s v="05AAECM6380J1ZA / M/S M R HealthCare Pvt. Ltd."/>
    <s v="Mumbai Suburban / 400059"/>
    <s v="Ramnagar / 244715"/>
    <s v="271502324260 - 01/11/2022 20:48:00"/>
    <s v="FWI/22-23/167"/>
    <d v="2022-11-01T00:00:00"/>
    <n v="77950"/>
    <n v="14031"/>
    <x v="84"/>
    <s v="SIEVES AND SCREEN"/>
    <s v="UK18CA6736"/>
    <n v="18"/>
  </r>
  <r>
    <s v="271526384170"/>
    <s v="27AABCP3959K1ZZ / PRAGATI RAW PHARMA PVT. LTD."/>
    <s v="05AAECM6380J1ZA / M.R.HEALTHCARE PVT LTD"/>
    <s v="BHIWANDI / 421302"/>
    <s v="Nainital / 244715"/>
    <s v="271526384170 - 31/12/2022 15:13:00"/>
    <s v="2022-23/M1987"/>
    <d v="2022-12-26T00:00:00"/>
    <n v="53000"/>
    <n v="9540"/>
    <x v="1"/>
    <s v="METHOCARBAMOL"/>
    <s v="UK18CA4303"/>
    <n v="18"/>
  </r>
  <r>
    <s v="291528371527"/>
    <s v="27AAXFP8362R1ZU / PHARMACARE INTERNATIONAL"/>
    <s v="05AAECM6380J1ZA / M.R.HEALTHCARE PVT.LTD"/>
    <s v="PANCHAKULA / 133302"/>
    <s v="DIST NAINITAL / 244715"/>
    <s v="291528371527 - 30/12/2022 16:58:00"/>
    <s v="22-23/0459"/>
    <d v="2022-12-30T00:00:00"/>
    <n v="668750"/>
    <n v="120375"/>
    <x v="85"/>
    <s v="29419020"/>
    <m/>
    <n v="18"/>
  </r>
  <r>
    <s v="231525666994"/>
    <s v="27AACPA0543Q1ZS / KHUSHI CHEM"/>
    <s v="05AAECM6380J1ZA / M R HEALTHCARE PVT LTD"/>
    <s v="DIST.THANE / 421302"/>
    <s v="Nainital / 244715"/>
    <s v="231525666994 - 27/12/2022 18:03:00"/>
    <n v="598"/>
    <d v="2022-12-24T00:00:00"/>
    <n v="180180"/>
    <n v="32432.400000000001"/>
    <x v="1"/>
    <m/>
    <m/>
    <n v="18"/>
  </r>
  <r>
    <s v="231525335544"/>
    <s v="27AABFF5289R1ZM / FARMA FUSION"/>
    <s v="05AAECM6380J1ZA / M R HEALTHCARE PRIVATE LIMITED"/>
    <s v="BHIWANDI / 421302"/>
    <s v="Ramnagar / 244715"/>
    <s v="231525335544 - 25/12/2022 01:38:00"/>
    <n v="224623"/>
    <d v="2022-12-22T00:00:00"/>
    <n v="53476.5"/>
    <n v="9625.77"/>
    <x v="86"/>
    <m/>
    <s v="UP14JT7811"/>
    <n v="18"/>
  </r>
  <r>
    <s v="231524588404"/>
    <s v="27AAFCS9959Q1Z4 / SNEHA MEDICARE PVT LTD"/>
    <s v="05AAECM6380J1ZA / MR HEALTHCARE PVTLTD"/>
    <s v="BHIWANDI / 421302"/>
    <s v="DISTNAINITAL, / 244715"/>
    <s v="231524588404 - 24/12/2022 17:23:00"/>
    <s v="H07549"/>
    <d v="2022-12-22T00:00:00"/>
    <n v="147750"/>
    <n v="26595"/>
    <x v="41"/>
    <m/>
    <s v="DL01MA0588"/>
    <n v="18"/>
  </r>
  <r>
    <s v="261523973978"/>
    <s v="27AUMPS2101C1ZY / ISHIKA INTERNATIONAL"/>
    <s v="05AAECM6380J1ZA / M/S M R HealthCare Pvt. Ltd."/>
    <s v="Thane / 421302"/>
    <s v="Ramnagar / 244715"/>
    <s v="261523973978 - 22/12/2022 17:22:00"/>
    <n v="1208"/>
    <d v="2022-12-21T00:00:00"/>
    <n v="112812.5"/>
    <n v="20306.25"/>
    <x v="87"/>
    <m/>
    <s v="DL01MA0588"/>
    <n v="18"/>
  </r>
  <r>
    <s v="241522538392"/>
    <s v="27AAACS0699E1ZB / SUNSHINE ORGANICS PVT LTD"/>
    <s v="05AAECM6380J1ZA / M/S M R HealthCare Pvt. Ltd."/>
    <s v="Palghar / 401506"/>
    <s v="RAMNAGAR, DIST- NAINITAL / 244715"/>
    <s v="241522538392 - 18/12/2022 10:25:00"/>
    <s v="2022-23/722"/>
    <d v="2022-12-17T00:00:00"/>
    <n v="71000"/>
    <n v="12780"/>
    <x v="88"/>
    <s v="MAGNESIUM STEARATE IP"/>
    <s v="UK18ER1439"/>
    <n v="18"/>
  </r>
  <r>
    <s v="281517534013"/>
    <s v="27AAFCS9959Q1Z4 / SNEHA MEDICARE PVT LTD"/>
    <s v="05AAECM6380J1ZA / MR HEALTHCARE PVTLTD"/>
    <s v="BHIWANDI / 421302"/>
    <s v="DISTNAINITAL, / 244715"/>
    <s v="281517534013 - 08/12/2022 16:34:00"/>
    <s v="H07026"/>
    <d v="2022-12-06T00:00:00"/>
    <n v="127000"/>
    <n v="22860"/>
    <x v="41"/>
    <m/>
    <s v="UK06CB7951"/>
    <n v="18"/>
  </r>
  <r>
    <s v="221514510513"/>
    <s v="27AAFCS9959Q1Z4 / SNEHA MEDICARE PVT LTD"/>
    <s v="05AAECM6380J1ZA / MR HEALTHCARE PVTLTD"/>
    <s v="BHIWANDI / 421302"/>
    <s v="DISTNAINITAL, / 244715"/>
    <s v="221514510513 - 02/12/2022 17:09:00"/>
    <s v="H06783"/>
    <d v="2022-11-29T00:00:00"/>
    <n v="171250"/>
    <n v="30825"/>
    <x v="89"/>
    <m/>
    <s v="DL01MA0529"/>
    <n v="18"/>
  </r>
  <r>
    <s v="281526747235"/>
    <s v="27AABCS4582P1ZP / SHUBHAM PHARMACHEM PVT LTD"/>
    <s v="05AAECM6380J1ZA / M/S M R HealthCare Pvt. Ltd."/>
    <s v="RAHNAL VILLAGE BHIWANDI  THANE / 421302"/>
    <s v="Nainital / 244715"/>
    <s v="281526747235 - 30/12/2022 18:40:00"/>
    <s v="SPPL/22-23/D4119"/>
    <d v="2022-12-27T00:00:00"/>
    <n v="17250"/>
    <n v="3105"/>
    <x v="90"/>
    <s v="IP"/>
    <s v="UK18CA4303"/>
    <n v="18"/>
  </r>
  <r>
    <s v="281526360227"/>
    <s v="27AAFPP9715L1Z4 / ATMAN PHARMACEUTICALS"/>
    <s v="05AAECM6380J1ZA / M.R.HEALTHCARE PVT. LTD."/>
    <s v="DIST THANE / 421302"/>
    <s v="Nainital / 244715"/>
    <s v="281526360227 - 27/12/2022 20:39:00"/>
    <s v="SAL/1622"/>
    <d v="2022-12-26T00:00:00"/>
    <n v="52500"/>
    <n v="9450"/>
    <x v="29"/>
    <s v="PYRANTEL PAMOATE USP"/>
    <m/>
    <n v="18"/>
  </r>
  <r>
    <s v="231525549299"/>
    <s v="27AAFCS9959Q1Z4 / SNEHA MEDICARE PVT LTD"/>
    <s v="05AAECM6380J1ZA / MR HEALTHCARE PVTLTD"/>
    <s v="BHIWANDI / 421302"/>
    <s v="DISTNAINITAL, / 244715"/>
    <s v="231525549299 - 26/12/2022 17:25:00"/>
    <s v="H07594"/>
    <d v="2022-12-24T00:00:00"/>
    <n v="178750"/>
    <n v="32175"/>
    <x v="89"/>
    <m/>
    <s v="HR55AA5732"/>
    <n v="18"/>
  </r>
  <r>
    <s v="231524644623"/>
    <s v="27AADCV0444P1ZZ / VIRAJ PHARMACEUTICALS PVTLTD"/>
    <s v="05AAECM6380J1ZA / M R HEALTHCARE PVTLTD"/>
    <s v="Bhiwandi / 421302"/>
    <s v="DIST-NAINITAL / 244715"/>
    <s v="231524644623 - 24/12/2022 19:14:00"/>
    <n v="1870"/>
    <d v="2022-12-22T00:00:00"/>
    <n v="14511.13"/>
    <n v="2612"/>
    <x v="57"/>
    <m/>
    <s v="HR38S4737"/>
    <n v="17.999976569708906"/>
  </r>
  <r>
    <s v="211524128882"/>
    <s v="27AAACU6175D1ZC / UNNATI PHARMACEUTICALS PVT LTD"/>
    <s v="05AAECM6380J1ZA / M R HEALTHCARE PVT LTD"/>
    <s v="Dist Thane / 421302"/>
    <s v="Ramnagar / 244715"/>
    <s v="211524128882 - 22/12/2022 17:22:00"/>
    <s v="MUMB005926"/>
    <d v="2022-12-21T00:00:00"/>
    <n v="79462.31"/>
    <n v="14303.22"/>
    <x v="29"/>
    <s v="DAPOXETINE HYDROCHLORIDE IP"/>
    <s v="DL01MA0588"/>
    <n v="18.000005285524672"/>
  </r>
  <r>
    <s v="211522084432"/>
    <s v="27AAFCS9959Q1Z4 / SNEHA MEDICARE PVT LTD"/>
    <s v="05AAECM6380J1ZA / MR HEALTHCARE PVTLTD"/>
    <s v="BHIWANDI / 421302"/>
    <s v="DISTNAINITAL, / 244715"/>
    <s v="211522084432 - 17/12/2022 18:46:00"/>
    <s v="H07350"/>
    <d v="2022-12-16T00:00:00"/>
    <n v="173000"/>
    <n v="31140"/>
    <x v="40"/>
    <m/>
    <s v="UK18CA3698"/>
    <n v="18"/>
  </r>
  <r>
    <s v="211516353872"/>
    <s v="27AAAFP8067G1Z2 / PIOMA CHEMICALS"/>
    <s v="05AAECM6380J1ZA / M R HEALTHCARE PVT LTD"/>
    <s v="THANE / 421302"/>
    <s v="Nainital / 244715"/>
    <s v="211516353872 - 05/12/2022 12:21:00"/>
    <n v="108233"/>
    <d v="2022-12-02T00:00:00"/>
    <n v="115000"/>
    <n v="20700"/>
    <x v="91"/>
    <m/>
    <s v="DL01MA0529"/>
    <n v="18"/>
  </r>
  <r>
    <s v="281515712257"/>
    <s v="27AASCA9722G1Z9 / AARTI PHARMALABS LIMITED"/>
    <s v="05AAECM6380J1ZA / Ajanta Pharma Limited"/>
    <s v="Maharashtra / 401506"/>
    <s v="UTTARAKHAND / 244715"/>
    <s v="281515712257 - 01/12/2022 17:15:00"/>
    <s v="T42022000148"/>
    <d v="2022-12-01T00:00:00"/>
    <n v="490000"/>
    <n v="88200"/>
    <x v="30"/>
    <s v="Ramipril"/>
    <s v="UK19CA0142"/>
    <n v="18"/>
  </r>
  <r>
    <s v="271525166496"/>
    <s v="27AAACG1864F1ZS / G.C.Chemie Pharmie Ltd."/>
    <s v="05AAECM6380J1ZA / M.R Healthcare Pvt. Ltd"/>
    <s v="BHIWANDI,DIST-THANE / 421302"/>
    <s v="Ramnagar / 244715"/>
    <s v="271525166496 - 23/12/2022 15:29:00"/>
    <s v="GCBH001390"/>
    <d v="2022-12-23T00:00:00"/>
    <n v="137500"/>
    <n v="24750"/>
    <x v="76"/>
    <s v="ASCORBIC ACID IP"/>
    <s v="UK18CA4303"/>
    <n v="18"/>
  </r>
  <r>
    <s v="391537662239"/>
    <s v="05ADVFS5795G1Z9 / Shri Krishna Polymer"/>
    <s v="05AAECM6380J1ZA / M,R HEALTHCARE PVT LTD"/>
    <s v="ROORKEE / 247667"/>
    <s v="Ramnagar / 244715"/>
    <s v="391537662239 - 19/12/2022 17:54:00"/>
    <n v="1109"/>
    <d v="2022-12-19T00:00:00"/>
    <n v="103899.7"/>
    <n v="18701.939999999999"/>
    <x v="6"/>
    <s v="METTALISED PVC SILVER"/>
    <s v="UK17CA4358"/>
    <n v="17.999994225199877"/>
  </r>
  <r>
    <s v="361535054947"/>
    <s v="05AAGFH2542C1ZY / HIMALAYAN CAPSCON INDUSTRIES"/>
    <s v="05AAECM6380J1ZA / M R HEALTHCARE PVT LTD"/>
    <s v="Selaqui / 248011"/>
    <s v="Ramnagar / 244715"/>
    <s v="361535054947 - 13/12/2022 15:16:00"/>
    <s v="HCI/22-23/0430"/>
    <d v="2022-12-13T00:00:00"/>
    <n v="410000"/>
    <n v="73800"/>
    <x v="17"/>
    <s v="HDPE 100ML DSB 22GM (100ML MARKING)"/>
    <s v="UP25CT7679"/>
    <n v="18"/>
  </r>
  <r>
    <s v="381533211988"/>
    <s v="06AYEPS2518M1Z4 / FORTUNE SOURCING"/>
    <s v="05AAECM6380J1ZA / M/S M R HealthCare Pvt. Ltd."/>
    <s v="Gurugram / 122001"/>
    <s v="Ramnagar / 244715"/>
    <s v="381533211988 - 08/12/2022 20:01:00"/>
    <s v="FS/0251/2022-23"/>
    <d v="2022-12-08T00:00:00"/>
    <n v="29718.3"/>
    <n v="5349.29"/>
    <x v="10"/>
    <s v="LAMI TUBE"/>
    <s v="UK06TA4820"/>
    <n v="17.999986540279895"/>
  </r>
  <r>
    <s v="341530687739"/>
    <s v="05ALGPC9789H1ZQ / OM PHARMACEUTICALS"/>
    <s v="05AAECM6380J1ZA / M/S M R HealthCare Pvt. Ltd."/>
    <s v="Haridwar / 249402"/>
    <s v="Ramnagar / 244715"/>
    <s v="341530687739 - 02/12/2022 19:04:00"/>
    <s v="OP/00311/2022-23"/>
    <d v="2022-12-02T00:00:00"/>
    <n v="49100"/>
    <n v="8838"/>
    <x v="26"/>
    <s v="PVPK30"/>
    <s v="UK18CA3698"/>
    <n v="18"/>
  </r>
  <r>
    <s v="331542707332"/>
    <s v="05AAVFR9326F1ZR / ROLL PACK ENTERPRISES KASHIPUR"/>
    <s v="05AAECM6380J1ZA / M/S M R HealthCare Pvt. Ltd."/>
    <s v="Udham Singh Nagar / 244713"/>
    <s v="Ramnagar / 244715"/>
    <s v="331542707332 - 31/12/2022 17:59:00"/>
    <n v="5647"/>
    <d v="2022-12-31T00:00:00"/>
    <n v="45444.5"/>
    <n v="8180.02"/>
    <x v="72"/>
    <s v="Sterio"/>
    <s v="UK18ER1223"/>
    <n v="18.000022004863073"/>
  </r>
  <r>
    <s v="391541689349"/>
    <s v="05ABNPA6018N2ZK / Manish Pharma"/>
    <s v="05AAECM6380J1ZA / MR HEALTHCARE PVT LTD"/>
    <s v="ROORKEE / 247667"/>
    <s v="KOSI ROAD,RAMNAGAR / 244715"/>
    <s v="391541689349 - 29/12/2022 23:17:00"/>
    <s v="MPR/22-23/4093"/>
    <d v="2022-12-29T00:00:00"/>
    <n v="418209"/>
    <n v="75277.62"/>
    <x v="1"/>
    <s v="CHLORZOXAZONE USP (MAKE-SARA)"/>
    <s v="UK17CA4642"/>
    <n v="18"/>
  </r>
  <r>
    <s v="361540959963"/>
    <s v="05BTNPD9977N2ZP / MUDRA PRESS"/>
    <s v="05AAECM6380J1ZA / M/S M R HealthCare Pvt. Ltd."/>
    <s v="Dehradun / 248001"/>
    <s v="Ramnagar / 244715"/>
    <s v="361540959963 - 27/12/2022 19:53:00"/>
    <s v="MP/22-23/264"/>
    <d v="2022-12-27T00:00:00"/>
    <n v="195520"/>
    <n v="35193.599999999999"/>
    <x v="4"/>
    <m/>
    <s v="UK17CA4303"/>
    <n v="18"/>
  </r>
  <r>
    <s v="301540047471"/>
    <s v="05ABNFA2675D1ZK / AURA PACKAGING"/>
    <s v="05AAECM6380J1ZA / M/S M R HealthCare Pvt. Ltd."/>
    <s v="Udham Singh Nagar / 263153"/>
    <s v="Ramnagar / 244715"/>
    <s v="301540047471 - 24/12/2022 20:02:00"/>
    <s v="AP/2022-23/00643"/>
    <d v="2022-12-24T00:00:00"/>
    <n v="49319.25"/>
    <n v="8877.4599999999991"/>
    <x v="23"/>
    <m/>
    <s v="UK06CA8352"/>
    <n v="17.999989861970729"/>
  </r>
  <r>
    <s v="371538031739"/>
    <s v="05ABNPA6018N2ZK / Manish Pharma"/>
    <s v="05AAECM6380J1ZA / MR HEALTHCARE PVT LTD"/>
    <s v="ROORKEE / 247667"/>
    <s v="KOSI ROAD,RAMNAGAR / 244715"/>
    <s v="371538031739 - 20/12/2022 22:47:00"/>
    <s v="MPR/22-23/3904"/>
    <d v="2022-12-20T00:00:00"/>
    <n v="570285"/>
    <n v="102651.3"/>
    <x v="33"/>
    <s v="CEFPODOXIME PROXETIL IP COMPACTED (COVALENT)"/>
    <s v="UK18CA4303"/>
    <n v="18"/>
  </r>
  <r>
    <s v="381536358703"/>
    <s v="02AAECS5320E1ZZ / P K PHARMATECH PRIVATE LIMITED"/>
    <s v="05AAECM6380J1ZA / M/S M R HealthCare Pvt. Ltd."/>
    <s v="baddi / 173205"/>
    <s v="Kashipur RAMNAGAR / 244715"/>
    <s v="381536358703 - 16/12/2022 19:40:00"/>
    <s v="304/22-23/B"/>
    <d v="2022-12-16T00:00:00"/>
    <n v="630000"/>
    <n v="113400"/>
    <x v="56"/>
    <s v="Ampicillin Trihydrate BP (Plain)"/>
    <s v="UK06CB8289"/>
    <n v="18"/>
  </r>
  <r>
    <s v="321535887635"/>
    <s v="06ABXPB5393D1ZH / DURGA ENTERPRISES"/>
    <s v="05AAECM6380J1ZA / Mr Health Care (P) Ltd."/>
    <s v="PANIPAT / 132103"/>
    <s v="Ramnagar / 244715"/>
    <s v="321535887635 - 16/12/2022 11:27:00"/>
    <n v="2542"/>
    <d v="2022-12-15T00:00:00"/>
    <n v="177200"/>
    <n v="8860"/>
    <x v="92"/>
    <s v="BLANKET"/>
    <m/>
    <n v="5"/>
  </r>
  <r>
    <s v="361535521003"/>
    <s v="05ABNPA6018N2ZK / Manish Pharma"/>
    <s v="05AAECM6380J1ZA / MR HEALTHCARE PVT LTD"/>
    <s v="ROORKEE / 247667"/>
    <s v="KOSI ROAD,RAMNAGAR / 244715"/>
    <s v="361535521003 - 14/12/2022 23:30:00"/>
    <s v="MPR/22-23/3821"/>
    <d v="2022-12-14T00:00:00"/>
    <n v="63031.5"/>
    <n v="11345.68"/>
    <x v="93"/>
    <s v="DICYCLOMINE HYDROCHLORIDE IP (SHREEPATI)"/>
    <s v="UK17CA4642"/>
    <n v="18.000015865083331"/>
  </r>
  <r>
    <s v="301535078572"/>
    <s v="05AALFN9057F1Z1 / NAVKAAR ENTERPRISES"/>
    <s v="05AAECM6380J1ZA / M.R. HEALTHCARE PVT. LTD."/>
    <s v="UTTARAKHAND / 249402"/>
    <s v="244715 / 244715"/>
    <s v="301535078572 - 13/12/2022 19:18:00"/>
    <s v="NE/22-23/0002383"/>
    <d v="2022-12-13T00:00:00"/>
    <n v="116800"/>
    <n v="21024"/>
    <x v="50"/>
    <s v="ISO PROPYL ALCOHOL IP"/>
    <s v="UK17CA4284"/>
    <n v="18"/>
  </r>
  <r>
    <s v="391534608380"/>
    <s v="05AALFN9057F1Z1 / NAVKAAR ENTERPRISES"/>
    <s v="05AAECM6380J1ZA / M.R. HEALTHCARE PVT. LTD."/>
    <s v="UTTARAKHAND / 249402"/>
    <s v="244715 / 244715"/>
    <s v="391534608380 - 12/12/2022 20:31:00"/>
    <s v="NE/22-23/0002374"/>
    <d v="2022-12-12T00:00:00"/>
    <n v="98040"/>
    <n v="17647.2"/>
    <x v="94"/>
    <s v="Propylene Glycol (Manali)"/>
    <s v="UK17CA4642"/>
    <n v="18"/>
  </r>
  <r>
    <s v="301533612819"/>
    <s v="05AABFO5340E1ZQ / OM SAI PHARMA PACK"/>
    <s v="05AAECM6380J1ZA / M.R. HEALTHCARE PVT. LTD."/>
    <s v="Uttarakhand / 249403"/>
    <s v="Nainital / 244715"/>
    <s v="301533612819 - 09/12/2022 20:39:00"/>
    <n v="11607"/>
    <d v="2022-12-09T00:00:00"/>
    <n v="75355.95"/>
    <n v="13564.08"/>
    <x v="9"/>
    <s v="LAMITUBE CURESHINE 15GM"/>
    <s v="UK17CA4284"/>
    <n v="18.00001194331702"/>
  </r>
  <r>
    <s v="371532217179"/>
    <s v="05ALGPC9789H1ZQ / OM PHARMACEUTICALS"/>
    <s v="05AAECM6380J1ZA / M/S M R HealthCare Pvt. Ltd."/>
    <s v="Haridwar / 249402"/>
    <s v="Ramnagar / 244715"/>
    <s v="371532217179 - 06/12/2022 19:54:00"/>
    <s v="OP/00316/2022-23"/>
    <d v="2022-12-06T00:00:00"/>
    <n v="102500"/>
    <n v="18450"/>
    <x v="95"/>
    <s v="LACTOSE 200 MESH"/>
    <s v="UK17CA4306"/>
    <n v="18"/>
  </r>
  <r>
    <s v="341531333860"/>
    <s v="05AAJFB5728K1ZA / Blize Printers (2022-23)"/>
    <s v="05AAECM6380J1ZA / M.R. HEALTHCARE PVT. LTD."/>
    <s v="BHAGWANPUR / 247661"/>
    <s v="Ramnagar / 244715"/>
    <s v="341531333860 - 04/12/2022 01:02:00"/>
    <s v="BP/22-23/2858"/>
    <d v="2022-12-03T00:00:00"/>
    <n v="130243.25"/>
    <n v="23443.78"/>
    <x v="8"/>
    <s v="Carton"/>
    <s v="UK17CA4306"/>
    <n v="17.999996161029458"/>
  </r>
  <r>
    <s v="371530704053"/>
    <s v="05AAJFB5728K1ZA / Blize Printers (2022-23)"/>
    <s v="05AAECM6380J1ZA / M.R. HEALTHCARE PVT. LTD."/>
    <s v="BHAGWANPUR / 247661"/>
    <s v="Ramnagar / 244715"/>
    <s v="371530704053 - 02/12/2022 23:44:00"/>
    <s v="BP/22-23/2845"/>
    <d v="2022-12-02T00:00:00"/>
    <n v="107260"/>
    <n v="19306.8"/>
    <x v="8"/>
    <s v="Carton"/>
    <s v="UK18CA3698"/>
    <n v="18"/>
  </r>
  <r>
    <s v="311530727586"/>
    <s v="05AAGFH2542C1ZY / HIMALAYAN CAPSCON INDUSTRIES"/>
    <s v="05AAECM6380J1ZA / M R HEALTHCARE PVT LTD"/>
    <s v="Selaqui / 248011"/>
    <s v="Ramnagar / 244715"/>
    <s v="311530727586 - 02/12/2022 15:19:00"/>
    <s v="HCI/22-23/0413"/>
    <d v="2022-12-02T00:00:00"/>
    <n v="29000"/>
    <n v="5220"/>
    <x v="17"/>
    <s v="HDPE 30ml DSB 8.25Gm (25MM)"/>
    <s v="UK18CA5709"/>
    <n v="18"/>
  </r>
  <r>
    <s v="371530399619"/>
    <s v="05AAJFB5728K1ZA / Blize Printers (2022-23)"/>
    <s v="05AAECM6380J1ZA / M.R. HEALTHCARE PVT. LTD."/>
    <s v="BHAGWANPUR / 247661"/>
    <s v="Ramnagar / 244715"/>
    <s v="371530399619 - 01/12/2022 23:57:00"/>
    <s v="BP/22-23/2833"/>
    <d v="2022-12-01T00:00:00"/>
    <n v="33085.5"/>
    <n v="5955.4"/>
    <x v="8"/>
    <s v="Carton"/>
    <s v="UK17CA4303"/>
    <n v="18.000030224720799"/>
  </r>
  <r>
    <s v="351542637598"/>
    <s v="06AAACM6962E1ZJ / MAHIMA LIFE SCIENCES PRIVATE LIMITED"/>
    <s v="05AAECM6380J1ZA / M.R.Healthcare - Nainital"/>
    <s v="Sonipat / 131101"/>
    <s v="Nainital / 244715"/>
    <s v="351542637598 - 31/12/2022 16:21:00"/>
    <s v="2022-23/2637"/>
    <d v="2022-12-31T00:00:00"/>
    <n v="370475"/>
    <n v="66685.5"/>
    <x v="7"/>
    <s v="DEFLAZACORT"/>
    <s v="UP14JT7811"/>
    <n v="18"/>
  </r>
  <r>
    <s v="321539978328"/>
    <s v="05AGOPJ9814D1ZC / Vatsalya Trading Corporation - FY 22-23"/>
    <s v="05AAECM6380J1ZA / M.R.Healthcare Pvt Ltd"/>
    <s v="Dehradun / 248001"/>
    <s v="Ramnagar / 247415"/>
    <s v="321539978328 - 29/12/2022 20:24:00"/>
    <s v="VTC/22-23/916"/>
    <d v="2022-12-24T00:00:00"/>
    <n v="76600"/>
    <n v="13788"/>
    <x v="96"/>
    <s v="Acetonitrile HPLC 2.5 Ltr"/>
    <s v="UK04CB9936"/>
    <n v="18"/>
  </r>
  <r>
    <s v="301540915433"/>
    <s v="05ABNPA6018N2ZK / Manish Pharma"/>
    <s v="05AAECM6380J1ZA / MR HEALTHCARE PVT LTD"/>
    <s v="ROORKEE / 247667"/>
    <s v="KOSI ROAD,RAMNAGAR / 244715"/>
    <s v="301540915433 - 28/12/2022 00:05:00"/>
    <s v="MPR/22-23/4051"/>
    <d v="2022-12-27T00:00:00"/>
    <n v="45022.5"/>
    <n v="8104.06"/>
    <x v="1"/>
    <s v="MELOXICAM IP (APEX HEALTHCARE)"/>
    <s v="UK17CA4303"/>
    <n v="18.000022211116665"/>
  </r>
  <r>
    <s v="371540539573"/>
    <s v="05AAJFB5728K1ZA / Blize Printers (2022-23)"/>
    <s v="05AAECM6380J1ZA / M.R. HEALTHCARE PVT. LTD."/>
    <s v="BHAGWANPUR / 247661"/>
    <s v="Ramnagar / 244715"/>
    <s v="371540539573 - 27/12/2022 00:20:00"/>
    <s v="BP/22-23/3107"/>
    <d v="2022-12-26T00:00:00"/>
    <n v="44923.5"/>
    <n v="8086.24"/>
    <x v="8"/>
    <s v="Carton"/>
    <s v="UK18CA4773"/>
    <n v="18.00002226006433"/>
  </r>
  <r>
    <s v="301539514478"/>
    <s v="02AAJFT0869K1ZY / TRADEX INDIA"/>
    <s v="05AAECM6380J1ZA / M/S M R HealthCare Pvt. Ltd."/>
    <s v="Sirmaur / 173030"/>
    <s v="Ramnagar / 244715"/>
    <s v="301539514478 - 23/12/2022 20:04:00"/>
    <s v="TI-651"/>
    <d v="2022-12-23T00:00:00"/>
    <n v="731250"/>
    <n v="131625"/>
    <x v="19"/>
    <s v="PHARMA RAW MATERIAL"/>
    <s v="UK18CA3698"/>
    <n v="18"/>
  </r>
  <r>
    <s v="331537973146"/>
    <s v="05ALGPC9789H1ZQ / OM PHARMACEUTICALS"/>
    <s v="05AAECM6380J1ZA / M/S M R HealthCare Pvt. Ltd."/>
    <s v="Haridwar / 249402"/>
    <s v="Ramnagar / 244715"/>
    <s v="331537973146 - 20/12/2022 20:30:00"/>
    <s v="OP/00332/2022-23"/>
    <d v="2022-12-20T00:00:00"/>
    <n v="69000"/>
    <n v="12420"/>
    <x v="49"/>
    <s v="CROSS CARMELOSE SODIUM BP USP"/>
    <s v="UK18CA4303"/>
    <n v="18"/>
  </r>
  <r>
    <s v="341536779689"/>
    <s v="04AAKFM1274G1ZG / DPB ANTIBIOTICS"/>
    <s v="05AAECM6380J1ZA / M R HEALTHCARE PVT LTD"/>
    <s v="CHANDIGARH / 160101"/>
    <s v="UTTARAKHAND / 244715"/>
    <s v="341536779689 - 17/12/2022 18:00:00"/>
    <s v="CHN002060"/>
    <d v="2022-12-16T00:00:00"/>
    <n v="1845000"/>
    <n v="332100"/>
    <x v="32"/>
    <s v="AMOXICILLIN TRI. IP/BP COMP"/>
    <s v="UK18CA5709"/>
    <n v="18"/>
  </r>
  <r>
    <s v="321536433776"/>
    <s v="05AAJFB5728K1ZA / Blize Printers (2022-23)"/>
    <s v="05AAECM6380J1ZA / M.R. HEALTHCARE PVT. LTD."/>
    <s v="BHAGWANPUR / 247661"/>
    <s v="Ramnagar / 244715"/>
    <s v="321536433776 - 16/12/2022 20:51:00"/>
    <s v="BP/22-23/3018"/>
    <d v="2022-12-16T00:00:00"/>
    <n v="28307.5"/>
    <n v="5095.3599999999997"/>
    <x v="8"/>
    <s v="Carton"/>
    <s v="UK17CA4322"/>
    <n v="18.000035326326945"/>
  </r>
  <r>
    <s v="351535897761"/>
    <s v="06ABXPB5393D1ZH / DURGA ENTERPRISES"/>
    <s v="05AAECM6380J1ZA / M/S M R HealthCare Pvt. Ltd."/>
    <s v="Panipat / 132103"/>
    <s v="Ramnagar / 244715"/>
    <s v="351535897761 - 16/12/2022 11:27:00"/>
    <n v="2541"/>
    <d v="2022-12-14T00:00:00"/>
    <n v="177552"/>
    <n v="8877.6"/>
    <x v="92"/>
    <s v="BLANKET"/>
    <m/>
    <n v="5"/>
  </r>
  <r>
    <s v="381535899654"/>
    <s v="06ABXPB5393D1ZH / DURGA ENTERPRISES"/>
    <s v="05AAECM6380J1ZA / M/S M R HealthCare Pvt. Ltd."/>
    <s v="Panipat / 132103"/>
    <s v="Ramnagar / 244715"/>
    <s v="381535899654 - 16/12/2022 11:27:00"/>
    <n v="2540"/>
    <d v="2022-12-14T00:00:00"/>
    <n v="177398"/>
    <n v="8869.9"/>
    <x v="92"/>
    <s v="BLANKET"/>
    <m/>
    <n v="5"/>
  </r>
  <r>
    <s v="331536125595"/>
    <s v="05AABCA8568R1ZZ / ABS Mercantiles Pvt. Ltd."/>
    <s v="05AAECM6380J1ZA / M.R. HEALTHCARE PVT. LTD."/>
    <s v="UTTARAKHAND / 247667"/>
    <s v="Ram Nagar / 244715"/>
    <s v="331536125595 - 16/12/2022 00:00:00"/>
    <s v="ABSR/22-23/0662"/>
    <d v="2022-12-15T00:00:00"/>
    <n v="125999.5"/>
    <n v="22680"/>
    <x v="86"/>
    <s v="Rabeprazole EC 20 mg + Levosulpiride SR 75 mg Pellets"/>
    <s v="UK17CA4358"/>
    <n v="18.000071428854877"/>
  </r>
  <r>
    <s v="301535888223"/>
    <s v="05ALGPC9789H1ZQ / OM PHARMACEUTICALS"/>
    <s v="05AAECM6380J1ZA / M/S M R HealthCare Pvt. Ltd."/>
    <s v="Haridwar / 249402"/>
    <s v="Ramnagar / 244715"/>
    <s v="301535888223 - 15/12/2022 19:23:00"/>
    <s v="OP/00325/2022-23"/>
    <d v="2022-12-15T00:00:00"/>
    <n v="123750"/>
    <n v="22275"/>
    <x v="25"/>
    <s v="MCCP ACECEL 102 IP"/>
    <s v="UK17CA4358"/>
    <n v="18"/>
  </r>
  <r>
    <s v="311535557256"/>
    <s v="05AAJFB5728K1ZA / Blize Printers (2022-23)"/>
    <s v="05AAECM6380J1ZA / M.R. HEALTHCARE PVT. LTD."/>
    <s v="BHAGWANPUR / 247661"/>
    <s v="Ramnagar / 244715"/>
    <s v="311535557256 - 14/12/2022 23:30:00"/>
    <s v="BP/22-23/2988"/>
    <d v="2022-12-14T00:00:00"/>
    <n v="42693.65"/>
    <n v="6834.66"/>
    <x v="8"/>
    <s v="Carton"/>
    <s v="UK17CA4642"/>
    <n v="16.008610179733989"/>
  </r>
  <r>
    <s v="341534738330"/>
    <s v="06AYEPS2518M1Z4 / FORTUNE SOURCING"/>
    <s v="05AAECM6380J1ZA / M/S M R HealthCare Pvt. Ltd."/>
    <s v="Gurugram / 122001"/>
    <s v="Ramnagar / 244715"/>
    <s v="341534738330 - 12/12/2022 21:36:00"/>
    <s v="FS/0256/2022-23"/>
    <d v="2022-12-12T00:00:00"/>
    <n v="63848.65"/>
    <n v="11492.76"/>
    <x v="10"/>
    <s v="LAMI TUBE"/>
    <s v="UK06CB1942"/>
    <n v="18.00000469861148"/>
  </r>
  <r>
    <s v="371533956578"/>
    <s v="05DFPPK9302L1Z1 / M/S GN MEDI SOLUTIONS"/>
    <s v="05AAECM6380J1ZA / M/S M R HealthCare Pvt. Ltd."/>
    <s v="Haridwar / 247661"/>
    <s v="Ramnagar / 244715"/>
    <s v="371533956578 - 10/12/2022 22:58:00"/>
    <s v="GN/22-23/109"/>
    <d v="2022-12-10T00:00:00"/>
    <n v="451500"/>
    <n v="81270"/>
    <x v="33"/>
    <m/>
    <s v="UK17CA4358"/>
    <n v="18"/>
  </r>
  <r>
    <s v="381533669385"/>
    <s v="05AAJFB5728K1ZA / Blize Printers (2022-23)"/>
    <s v="05AAECM6380J1ZA / M.R. HEALTHCARE PVT. LTD."/>
    <s v="BHAGWANPUR / 247661"/>
    <s v="Ramnagar / 244715"/>
    <s v="381533669385 - 09/12/2022 23:01:00"/>
    <s v="BP/22-23/2941"/>
    <d v="2022-12-09T00:00:00"/>
    <n v="130698.7"/>
    <n v="23525.78"/>
    <x v="8"/>
    <s v="Carton"/>
    <s v="UK17CA4284"/>
    <n v="18.000010711659719"/>
  </r>
  <r>
    <s v="391533114309"/>
    <s v="05HVVPS7064F1ZS / QUANTUM PHARMA CHEM"/>
    <s v="05AAECM6380J1ZA / M/S M R HealthCare Pvt. Ltd."/>
    <s v="Haridwar / 247667"/>
    <s v="Ramnagar / 244715"/>
    <s v="391533114309 - 08/12/2022 16:15:00"/>
    <n v="547"/>
    <d v="2022-12-07T00:00:00"/>
    <n v="76000"/>
    <n v="13680"/>
    <x v="25"/>
    <m/>
    <s v="UK18CA0203"/>
    <n v="18"/>
  </r>
  <r>
    <s v="371532739727"/>
    <s v="05AAJFB5728K1ZA / Blize Printers (2022-23)"/>
    <s v="05AAECM6380J1ZA / M.R. HEALTHCARE PVT. LTD."/>
    <s v="BHAGWANPUR / 247661"/>
    <s v="Ramnagar / 244715"/>
    <s v="371532739727 - 07/12/2022 22:29:00"/>
    <s v="BP/22-23/2908"/>
    <d v="2022-12-07T00:00:00"/>
    <n v="129940"/>
    <n v="23389.200000000001"/>
    <x v="8"/>
    <s v="Carton"/>
    <s v="UK17CA4306"/>
    <n v="18"/>
  </r>
  <r>
    <s v="351531795779"/>
    <s v="05ABNPA6018N2ZK / Manish Pharma"/>
    <s v="05AAECM6380J1ZA / MR HEALTHCARE PVT LTD"/>
    <s v="ROORKEE / 247667"/>
    <s v="KOSI ROAD,RAMNAGAR / 244715"/>
    <s v="351531795779 - 06/12/2022 00:08:00"/>
    <s v="MPR/22-23/3673"/>
    <d v="2022-12-05T00:00:00"/>
    <n v="570285"/>
    <n v="102651.3"/>
    <x v="33"/>
    <s v="CEFPODOXIME PROXETIL COMPACTED IP (AUROBINDO)"/>
    <s v="UK17CA4306"/>
    <n v="18"/>
  </r>
  <r>
    <s v="351530741744"/>
    <s v="06AABCF5740N1ZG / Alutech Packaging Private Limited"/>
    <s v="05AAECM6380J1ZA / M R HEALTHCARE PVT LTD"/>
    <s v="Bahadurgarh / 124507"/>
    <s v="NANITAL / 244715"/>
    <s v="351530741744 - 02/12/2022 15:40:00"/>
    <s v="APPL/22-23/5431"/>
    <d v="2022-12-01T00:00:00"/>
    <n v="961139.4"/>
    <n v="173005.09"/>
    <x v="14"/>
    <s v="Aluminium Foil"/>
    <m/>
    <n v="17.999999791913638"/>
  </r>
  <r>
    <s v="321542177321"/>
    <s v="05AASFR5565R1Z4 / M/S ROORKEE FOIL"/>
    <s v="05AAECM6380J1ZA / M/S M R HealthCare Pvt. Ltd."/>
    <s v="Haridwar / 247667"/>
    <s v="Ramnagar / 244715"/>
    <s v="321542177321 - 30/12/2022 23:55:00"/>
    <s v="RK/22-23/2122"/>
    <d v="2022-12-30T00:00:00"/>
    <n v="55845.9"/>
    <n v="10052.26"/>
    <x v="20"/>
    <s v="BLISTER FOIL PRINTED"/>
    <s v="UK18CA4303"/>
    <n v="17.999996418716503"/>
  </r>
  <r>
    <s v="321541665955"/>
    <s v="02AKAPC8938R1ZU / COAT AND COAT PHARMACARE"/>
    <s v="05AAECM6380J1ZA / M/S M R HealthCare Pvt. Ltd."/>
    <s v="Solan / 173205"/>
    <s v="Ramnagar / 244715"/>
    <s v="321541665955 - 30/12/2022 20:32:00"/>
    <n v="1359"/>
    <d v="2022-12-29T00:00:00"/>
    <n v="42500"/>
    <n v="7650"/>
    <x v="46"/>
    <s v="TABLET COATING MATERIAL"/>
    <s v="HR39E9568"/>
    <n v="18"/>
  </r>
  <r>
    <s v="391540970190"/>
    <s v="06AYEPS2518M1Z4 / FORTUNE SOURCING"/>
    <s v="05AAECM6380J1ZA / M/S M R HealthCare Pvt. Ltd."/>
    <s v="Gurugram / 122001"/>
    <s v="Ramnagar / 244715"/>
    <s v="391540970190 - 27/12/2022 21:11:00"/>
    <s v="FS/0277/2022-23"/>
    <d v="2022-12-27T00:00:00"/>
    <n v="12350"/>
    <n v="2223"/>
    <x v="10"/>
    <s v="LAMI TUBE"/>
    <s v="UK06CA7184"/>
    <n v="18"/>
  </r>
  <r>
    <s v="361540391644"/>
    <s v="06AABCF5740N1ZG / Alutech Packaging Private Limited"/>
    <s v="05AAECM6380J1ZA / M R HEALTHCARE PVT LTD"/>
    <s v="Bahadurgarh / 124507"/>
    <s v="NANITAL / 244715"/>
    <s v="361540391644 - 26/12/2022 14:16:00"/>
    <s v="APPL/22-23/5987"/>
    <d v="2022-12-26T00:00:00"/>
    <n v="864618.3"/>
    <n v="155631.29"/>
    <x v="14"/>
    <s v="Aluminium Foil"/>
    <m/>
    <n v="17.999999537368108"/>
  </r>
  <r>
    <s v="371539937762"/>
    <s v="05ACPFS1430H1Z7 / M/S SWASTIK ART CREATIONS"/>
    <s v="05AAECM6380J1ZA / M/S M R HealthCare Pvt. Ltd."/>
    <s v="Haridwar / 247667"/>
    <s v="Ramnagar / 244715"/>
    <s v="371539937762 - 24/12/2022 22:19:00"/>
    <s v="S/1203/22-23"/>
    <d v="2022-12-24T00:00:00"/>
    <n v="42486.25"/>
    <n v="7647.52"/>
    <x v="4"/>
    <s v="CARTONS"/>
    <s v="UK17CA1878"/>
    <n v="17.999988231486657"/>
  </r>
  <r>
    <s v="341539043437"/>
    <s v="05AAJFB5728K1ZA / Blize Printers (2022-23)"/>
    <s v="05AAECM6380J1ZA / M.R. HEALTHCARE PVT. LTD."/>
    <s v="BHAGWANPUR / 247661"/>
    <s v="Ramnagar / 244715"/>
    <s v="341539043437 - 22/12/2022 22:43:00"/>
    <s v="BP/22-23/3074"/>
    <d v="2022-12-22T00:00:00"/>
    <n v="52470"/>
    <n v="9444.6"/>
    <x v="8"/>
    <s v="Carton"/>
    <s v="UK18CA4303"/>
    <n v="18"/>
  </r>
  <r>
    <s v="341538508346"/>
    <s v="05ABNPA6018N2ZK / Manish Pharma"/>
    <s v="05AAECM6380J1ZA / MR HEALTHCARE PVT LTD"/>
    <s v="ROORKEE / 247667"/>
    <s v="KOSI ROAD,RAMNAGAR / 244715"/>
    <s v="341538508346 - 22/12/2022 01:03:00"/>
    <s v="MPR/22-23/3933"/>
    <d v="2022-12-21T00:00:00"/>
    <n v="483741.75"/>
    <n v="87073.52"/>
    <x v="1"/>
    <s v="ACECLOFENAC IP ( MAKE - ORGANO )"/>
    <s v="UK17CA4358"/>
    <n v="18.000001033609358"/>
  </r>
  <r>
    <s v="351537603760"/>
    <s v="05AAUCS2953B1ZA / VIVA PACK PVT. LTD."/>
    <s v="05AAECM6380J1ZA / M.R HEALTHCARE PVT LTD."/>
    <s v="Roorkee / 247667"/>
    <s v="UTTARAKHAND / 244715"/>
    <s v="351537603760 - 19/12/2022 16:46:00"/>
    <s v="GST-2223-1722"/>
    <d v="2022-12-19T00:00:00"/>
    <n v="55668.480000000003"/>
    <n v="10020.32"/>
    <x v="17"/>
    <s v="PET BOTTLES 30ML 7.5GM RD AMB 1344"/>
    <s v="UK17CA4358"/>
    <n v="17.999988503368513"/>
  </r>
  <r>
    <s v="331536628528"/>
    <s v="05ADVFS5795G1Z9 / Shri Krishna Polymer"/>
    <s v="05AAECM6380J1ZA / M,R HEALTHCARE PVT LTD"/>
    <s v="ROORKEE / 247667"/>
    <s v="Ramnagar / 244715"/>
    <s v="331536628528 - 16/12/2022 18:35:00"/>
    <n v="1097"/>
    <d v="2022-12-16T00:00:00"/>
    <n v="77398.45"/>
    <n v="13931.72"/>
    <x v="6"/>
    <s v="METTALISED PVC SILVER"/>
    <s v="UK17CA4322"/>
    <n v="17.999998707984464"/>
  </r>
  <r>
    <s v="341536087298"/>
    <s v="05ANTPS9188H1Z0 / G K PHARMA"/>
    <s v="05AAECM6380J1ZA / MR HEALTHCARE PVT LTD"/>
    <s v="ROORKEE / 247667"/>
    <s v="Ramnagar / 244715"/>
    <s v="341536087298 - 16/12/2022 00:00:00"/>
    <s v="GKUK/1350/22-23"/>
    <d v="2022-12-15T00:00:00"/>
    <n v="40300"/>
    <n v="7254"/>
    <x v="1"/>
    <m/>
    <s v="UK17CA4358"/>
    <n v="18"/>
  </r>
  <r>
    <s v="311535665025"/>
    <s v="05ALGPC9789H1ZQ / OM PHARMACEUTICALS"/>
    <s v="05AAECM6380J1ZA / M/S M R HealthCare Pvt. Ltd."/>
    <s v="Haridwar / 249402"/>
    <s v="Ramnagar / 244715"/>
    <s v="311535665025 - 14/12/2022 23:30:00"/>
    <s v="OP/00324/2022-23"/>
    <d v="2022-12-14T00:00:00"/>
    <n v="104000"/>
    <n v="18720"/>
    <x v="26"/>
    <s v="CROSSPOVIDONE XL10"/>
    <s v="UK17CA4642"/>
    <n v="18"/>
  </r>
  <r>
    <s v="341534297604"/>
    <s v="05AAGFP5705R1ZS / Pagia Hardware"/>
    <s v="05AAECM6380J1ZA / M R HEALTH CARE P LTD"/>
    <s v="KASHIPUR / 244713"/>
    <s v="RAMNAGR / 244715"/>
    <s v="341534297604 - 11/12/2022 15:10:00"/>
    <n v="1998"/>
    <d v="2022-12-11T00:00:00"/>
    <n v="280102.53000000003"/>
    <n v="50418.46"/>
    <x v="55"/>
    <s v="M.S.Beam (72163200)"/>
    <s v="UK04CA0696"/>
    <n v="18.000001642255782"/>
  </r>
  <r>
    <s v="301533429251"/>
    <s v="03AACCI1225J1Z2 / INFINITY LABORATORIES PVT LTD"/>
    <s v="05AAECM6380J1ZA / M R HEALTHCARE PVT LTD"/>
    <s v="DERA BASSI / 140507"/>
    <s v="Ramnagar / 244715"/>
    <s v="301533429251 - 09/12/2022 12:05:00"/>
    <s v="ILPL-614"/>
    <d v="2022-12-09T00:00:00"/>
    <n v="850000"/>
    <n v="153000"/>
    <x v="33"/>
    <s v="OFLOXACIN IP"/>
    <s v="UK04CB5708"/>
    <n v="18"/>
  </r>
  <r>
    <s v="311532294033"/>
    <s v="05CQEPR8480H1ZF / GLOBAL TONICS"/>
    <s v="05AAECM6380J1ZA / M.R HEALTHCARE"/>
    <s v="Haridwar,UTTARAKHAND-249410 / 249410"/>
    <s v="/ 244715"/>
    <s v="311532294033 - 07/12/2022 19:46:00"/>
    <s v="196/22-23"/>
    <d v="2022-12-06T00:00:00"/>
    <n v="242500"/>
    <n v="43650"/>
    <x v="26"/>
    <s v="DRUG"/>
    <s v="UK17CA4306"/>
    <n v="18"/>
  </r>
  <r>
    <s v="491301213460"/>
    <s v="09AVWPT8411D1Z0 / MEDZY PHARMACEUTICAL"/>
    <s v="05AAECM6380J1ZA / M/S M R HealthCare Pvt. Ltd."/>
    <s v="RUDRAPUR / 263153"/>
    <s v="Ramnagar / 244715"/>
    <s v="491301213460 - 24/12/2022 08:13:00"/>
    <n v="60"/>
    <d v="2022-12-24T00:00:00"/>
    <n v="202500"/>
    <n v="36450"/>
    <x v="25"/>
    <m/>
    <s v="UK06CB5017"/>
    <n v="18"/>
  </r>
  <r>
    <s v="671505977249"/>
    <s v="26AAACA3345D1Z8 / Amisha Vinyls Pvt. Ltd."/>
    <s v="05AAECM6380J1ZA / M.R.HEALTHCARE PVT.LTD."/>
    <s v="Daman / 396210"/>
    <s v="Nainital / 244715"/>
    <s v="671505977249 - 30/12/2022 17:45:00"/>
    <n v="3751"/>
    <d v="2022-12-30T00:00:00"/>
    <n v="178377"/>
    <m/>
    <x v="12"/>
    <s v="Pharma grade - 01 - Orange - 0.25mm Thick - 158mm Width - Paper Core 9 - BOX - WL"/>
    <s v="UP21CT7786"/>
    <n v="0"/>
  </r>
  <r>
    <s v="601500334170"/>
    <s v="26AAACA3345D1Z8 / Amisha Vinyls Pvt. Ltd."/>
    <s v="05AAECM6380J1ZA / M.R.HEALTHCARE PVT.LTD."/>
    <s v="Daman / 396210"/>
    <s v="Nainital / 244715"/>
    <s v="601500334170 - 17/12/2022 13:12:00"/>
    <n v="3557"/>
    <d v="2022-12-17T00:00:00"/>
    <n v="68389.2"/>
    <m/>
    <x v="12"/>
    <s v="Pharma grade - 01 - Blue Tone - 0.25mm Thick - 198mm Width - Paper Core 9 - BOX - WL"/>
    <s v="UK06TA5256"/>
    <n v="0"/>
  </r>
  <r>
    <s v="691504437951"/>
    <s v="24AABCP1993P1ZX / Pure Chem Private Limited"/>
    <s v="05AAECM6380J1ZA / M.R.Healthcare Pvt.Ltd."/>
    <s v="Ankleshwar / 393002"/>
    <s v="Nainital / 244715"/>
    <s v="691504437951 - 29/12/2022 20:07:00"/>
    <s v="PCPL/482/22-23"/>
    <d v="2022-12-27T00:00:00"/>
    <n v="207000"/>
    <n v="37260"/>
    <x v="71"/>
    <s v="Febantel IP"/>
    <s v="UK18CA4303"/>
    <n v="18"/>
  </r>
  <r>
    <s v="661495769922"/>
    <s v="24AAQFR9860F1ZP / REINE LIFESCIENCE"/>
    <s v="05AAECM6380J1ZA / M/S M R HealthCare Pvt. Ltd."/>
    <s v="Bharuch / 393002"/>
    <s v="Ramnagar / 244715"/>
    <s v="661495769922 - 07/12/2022 12:38:00"/>
    <s v="RLS/1550/22-23"/>
    <d v="2022-12-06T00:00:00"/>
    <n v="95000"/>
    <n v="17100"/>
    <x v="1"/>
    <s v="Pharma Product"/>
    <s v="HR38S4738"/>
    <n v="18"/>
  </r>
  <r>
    <s v="731305527647"/>
    <s v="07AAHCP4772A1ZJ / Parkleton Private Limited"/>
    <s v="05AAECM6380J1ZA / M.R. Healthcare Pvt Ltd"/>
    <s v="Delhi / 110085"/>
    <s v="UTTARAKHAND / 244715"/>
    <s v="731305527647 - 20/12/2022 22:59:00"/>
    <s v="PPL/2022-23/3447"/>
    <d v="2022-12-19T00:00:00"/>
    <n v="590000"/>
    <n v="106200"/>
    <x v="33"/>
    <s v="Cefixime Trihydrate Compacted IP (29419090)"/>
    <s v="UK18CA4303"/>
    <n v="18"/>
  </r>
  <r>
    <s v="731307166493"/>
    <s v="07AAACR6057R1ZR / ROHAN PHARMA PVT LTD"/>
    <s v="05AAECM6380J1ZA / MRHEALTHCARE PVT LTD"/>
    <s v="DELHI / 110039"/>
    <s v="Ram Nagar / 244715"/>
    <s v="731307166493 - 27/12/2022 21:33:00"/>
    <s v="RPPL/3847/22-23"/>
    <d v="2022-12-26T00:00:00"/>
    <n v="30800"/>
    <n v="5544"/>
    <x v="5"/>
    <s v="BLUE/BLUE - 2"/>
    <s v="UK18TA0659"/>
    <n v="18"/>
  </r>
  <r>
    <s v="791305036604"/>
    <s v="07AAACR6057R1ZR / ROHAN PHARMA PVT LTD"/>
    <s v="05AAECM6380J1ZA / MRHEALTHCARE PVT LTD"/>
    <s v="DELHI / 110039"/>
    <s v="Ram Nagar / 244715"/>
    <s v="791305036604 - 16/12/2022 21:13:00"/>
    <s v="RPPL/3698/22-23"/>
    <d v="2022-12-16T00:00:00"/>
    <n v="103200"/>
    <n v="18576"/>
    <x v="5"/>
    <m/>
    <s v="UK18TA0659"/>
    <n v="18"/>
  </r>
  <r>
    <s v="721304308321"/>
    <s v="07AATFD3714H1ZB / DIWAN CHAND SAHANI AND SONS LLP"/>
    <s v="05AAECM6380J1ZA / M/S M R HealthCare Pvt. Ltd."/>
    <s v="Central Delhi / 110005"/>
    <s v="Ramnagar / 244715"/>
    <s v="721304308321 - 13/12/2022 23:02:00"/>
    <s v="DCS/22-23/1699"/>
    <d v="2022-12-13T00:00:00"/>
    <n v="144540"/>
    <n v="26017.200000000001"/>
    <x v="68"/>
    <s v="OTHER CHEMICALS"/>
    <s v="UK06CB5759"/>
    <n v="18"/>
  </r>
  <r>
    <s v="751303818721"/>
    <s v="07ABWPB1401F1Z3 / BHARAT PHARMA"/>
    <s v="05AAECM6380J1ZA / MR HEALTHCARE PVT LTD"/>
    <s v="DELHI / 110042"/>
    <s v="UTTARAKHAND / 244715"/>
    <s v="751303818721 - 11/12/2022 02:03:00"/>
    <s v="BPG/22-23/2590"/>
    <d v="2022-12-10T00:00:00"/>
    <n v="1080540"/>
    <n v="194497.2"/>
    <x v="19"/>
    <s v="PARACETAMOL IP(FARMSON)"/>
    <s v="HR55W0301"/>
    <n v="18"/>
  </r>
  <r>
    <s v="761308358717"/>
    <s v="08AAACD2877R1ZZ / DHANUKA LABORATORIES LIMITED"/>
    <s v="05AAECM6380J1ZA / M/S M R HealthCare Pvt. Ltd."/>
    <s v="Jaipur / 303108"/>
    <s v="Ramnagar / 244715"/>
    <s v="761308358717 - 31/12/2022 12:59:00"/>
    <s v="SI/KD/2223/0643"/>
    <d v="2022-12-31T00:00:00"/>
    <n v="365000"/>
    <n v="65700"/>
    <x v="34"/>
    <s v="MONTELUKAST SODIUM IP"/>
    <m/>
    <n v="18"/>
  </r>
  <r>
    <s v="721308123902"/>
    <s v="07ABWPB1401F1Z3 / BHARAT PHARMA"/>
    <s v="05AAECM6380J1ZA / MR HEALTHCARE PVT LTD"/>
    <s v="DELHI / 110042"/>
    <s v="UTTARAKHAND / 244715"/>
    <s v="721308123902 - 30/12/2022 21:21:00"/>
    <s v="BPG/22-23/2951"/>
    <d v="2022-12-30T00:00:00"/>
    <n v="778389"/>
    <n v="140110.01999999999"/>
    <x v="19"/>
    <s v="PARACETAMOL-IP(SARA)"/>
    <s v="UK18CA6361"/>
    <n v="17.999999999999996"/>
  </r>
  <r>
    <s v="751307552429"/>
    <s v="07AAHCP4772A1ZJ / Parkleton Private Limited"/>
    <s v="05AAECM6380J1ZA / M.R. Healthcare Pvt Ltd"/>
    <s v="Delhi / 110085"/>
    <s v="UTTARAKHAND / 244715"/>
    <s v="751307552429 - 28/12/2022 21:31:00"/>
    <s v="PPL/2022-23/3568"/>
    <d v="2022-12-28T00:00:00"/>
    <n v="590000"/>
    <n v="106200"/>
    <x v="33"/>
    <s v="Cefixime Trihydrate Compacted IP (29419090)"/>
    <s v="UK18TA0659"/>
    <n v="18"/>
  </r>
  <r>
    <s v="731307128688"/>
    <s v="07ABWPB1401F1Z3 / BHARAT PHARMA"/>
    <s v="05AAECM6380J1ZA / MR HEALTHCARE PVT LTD"/>
    <s v="DELHI / 110042"/>
    <s v="UTTARAKHAND / 244715"/>
    <s v="731307128688 - 27/12/2022 01:23:00"/>
    <s v="BPG/22-23/2858"/>
    <d v="2022-12-26T00:00:00"/>
    <n v="156078"/>
    <n v="28094.04"/>
    <x v="1"/>
    <s v="NIMESULIDE-BP (ALKA)"/>
    <s v="DL01GC9973"/>
    <n v="18"/>
  </r>
  <r>
    <s v="791306826299"/>
    <s v="07ABWPB1401F1Z3 / BHARAT PHARMA"/>
    <s v="05AAECM6380J1ZA / MR HEALTHCARE PVT LTD"/>
    <s v="DELHI / 110042"/>
    <s v="UTTARAKHAND / 244715"/>
    <s v="791306826299 - 24/12/2022 22:26:00"/>
    <s v="BPG/22-23/2849"/>
    <d v="2022-12-24T00:00:00"/>
    <n v="181340.63"/>
    <n v="32641.31"/>
    <x v="89"/>
    <s v="IBUPROFEN IP SN GRADE(SOLARA)"/>
    <s v="UK06CB5759"/>
    <n v="17.999998125075443"/>
  </r>
  <r>
    <s v="771306312255"/>
    <s v="07AATFD3714H1ZB / DIWAN CHAND SAHANI AND SONS LLP"/>
    <s v="05AAECM6380J1ZA / M/S M R HealthCare Pvt. Ltd."/>
    <s v="Central Delhi / 110005"/>
    <s v="Ramnagar / 244715"/>
    <s v="771306312255 - 23/12/2022 21:27:00"/>
    <s v="DCS/22-23/1765"/>
    <d v="2022-12-22T00:00:00"/>
    <n v="156000"/>
    <n v="28080"/>
    <x v="68"/>
    <s v="OTHER CHEMICALS"/>
    <s v="UK18CA6361"/>
    <n v="18"/>
  </r>
  <r>
    <s v="721306085774"/>
    <s v="08AACCA7721R1Z7 / ALKA LABORATORIES PVT LTD"/>
    <s v="05AAECM6380J1ZA / M R HEALTHCARE PVT LTD"/>
    <s v="BHIWADI / 301019"/>
    <s v="Ramnagar / 244715"/>
    <s v="721306085774 - 21/12/2022 14:36:00"/>
    <s v="ALPL22230974"/>
    <d v="2022-12-21T00:00:00"/>
    <n v="199500"/>
    <n v="35910"/>
    <x v="28"/>
    <m/>
    <s v="UK08CA9855"/>
    <n v="18"/>
  </r>
  <r>
    <s v="741305363479"/>
    <s v="07AAGFL4546C1ZI / LAXMI PRINT N PACK"/>
    <s v="05AAECM6380J1ZA / M/S M R HealthCare Pvt. Ltd."/>
    <s v="New Delhi / 110028"/>
    <s v="Ramnagar / 244715"/>
    <s v="741305363479 - 17/12/2022 21:50:00"/>
    <s v="2022-2023/966"/>
    <d v="2022-12-17T00:00:00"/>
    <n v="109806"/>
    <n v="0"/>
    <x v="23"/>
    <s v="BOX"/>
    <s v="UK18CA4773"/>
    <n v="0"/>
  </r>
  <r>
    <s v="711304309305"/>
    <s v="07AAACR6057R1ZR / ROHAN PHARMA PVT LTD"/>
    <s v="05AAECM6380J1ZA / MRHEALTHCARE PVT LTD"/>
    <s v="DELHI / 110039"/>
    <s v="Ram Nagar / 244715"/>
    <s v="711304309305 - 13/12/2022 23:02:00"/>
    <s v="RPPL/3622/22-23"/>
    <d v="2022-12-13T00:00:00"/>
    <n v="108000"/>
    <n v="19440"/>
    <x v="5"/>
    <m/>
    <s v="UK06CB5759"/>
    <n v="18"/>
  </r>
  <r>
    <s v="721303751229"/>
    <s v="07AAGFL4546C1ZI / LAXMI PRINT N PACK"/>
    <s v="05AAECM6380J1ZA / M/S M R HealthCare Pvt. Ltd."/>
    <s v="New Delhi / 110028"/>
    <s v="Ramnagar / 244715"/>
    <s v="721303751229 - 10/12/2022 22:28:00"/>
    <s v="2022-2023/922"/>
    <d v="2022-12-10T00:00:00"/>
    <n v="64979"/>
    <n v="0"/>
    <x v="23"/>
    <s v="BOX"/>
    <s v="UK18TA0659"/>
    <n v="0"/>
  </r>
  <r>
    <s v="711303502679"/>
    <s v="07BPSPA7872N2Z1 / SHARVA INTERNATIONAL"/>
    <s v="05AAECM6380J1ZA / M/S M R HealthCare Pvt. Ltd."/>
    <s v="West Delhi / 110015"/>
    <s v="Ramnagar / 244715"/>
    <s v="711303502679 - 10/12/2022 03:31:00"/>
    <s v="SI-283/22-23"/>
    <d v="2022-12-09T00:00:00"/>
    <n v="571070.5"/>
    <n v="102792.69"/>
    <x v="1"/>
    <m/>
    <s v="UK18CA3698"/>
    <n v="18"/>
  </r>
  <r>
    <s v="781303154752"/>
    <s v="07AAQFC6975N1ZH / CRETA PACKAGING"/>
    <s v="05AAECM6380J1ZA / M/S M R HealthCare Pvt. Ltd."/>
    <s v="North West Delhi / 110042"/>
    <s v="Ramnagar / 244715"/>
    <s v="781303154752 - 07/12/2022 21:23:00"/>
    <s v="22-23/110"/>
    <d v="2022-12-07T00:00:00"/>
    <n v="109101"/>
    <n v="19638.18"/>
    <x v="23"/>
    <m/>
    <s v="UK18CA4767"/>
    <n v="18"/>
  </r>
  <r>
    <s v="701302419517"/>
    <s v="07AAQFC6975N1ZH / CRETA PACKAGING"/>
    <s v="05AAECM6380J1ZA / M/S M R HealthCare Pvt. Ltd."/>
    <s v="North West Delhi / 110042"/>
    <s v="Ramnagar / 244715"/>
    <s v="701302419517 - 03/12/2022 20:28:00"/>
    <s v="22-23/109"/>
    <d v="2022-12-03T00:00:00"/>
    <n v="63122.5"/>
    <n v="11362.05"/>
    <x v="23"/>
    <m/>
    <s v="UK18CA5709"/>
    <n v="18"/>
  </r>
  <r>
    <s v="711301555378"/>
    <s v="07AAGFL4546C1ZI / LAXMI PRINT N PACK"/>
    <s v="05AAECM6380J1ZA / M/S M R HealthCare Pvt. Ltd."/>
    <s v="New Delhi / 110028"/>
    <s v="Ramnagar / 244715"/>
    <s v="711301555378 - 01/12/2022 21:56:00"/>
    <s v="2022-2023/857"/>
    <d v="2022-11-30T00:00:00"/>
    <n v="95676"/>
    <n v="0"/>
    <x v="23"/>
    <s v="BOX"/>
    <s v="UK18CA4767"/>
    <n v="0"/>
  </r>
  <r>
    <s v="701313657515"/>
    <s v="07ASZPG6153D1ZH / GUNINA PRINT PACK"/>
    <s v="05AAECM6380J1ZA / MR HEALTHCARE PVT LTD"/>
    <s v="Delhi / 110095"/>
    <s v="RAMNAGER / 244715"/>
    <s v="701313657515 - 25/01/2023 21:49:00"/>
    <n v="578"/>
    <d v="2023-01-21T00:00:00"/>
    <n v="19219.55"/>
    <n v="3459.52"/>
    <x v="20"/>
    <m/>
    <s v="UK18CA4773"/>
    <n v="18.000005203035453"/>
  </r>
  <r>
    <s v="781309444392"/>
    <s v="07ASZPG6153D1ZH / GUNINA PRINT PACK"/>
    <s v="05AAECM6380J1ZA / MR HEALTHCARE PVT LTD"/>
    <s v="Delhi / 110095"/>
    <s v="RAMNAGER / 244715"/>
    <s v="781309444392 - 05/01/2023 18:38:00"/>
    <n v="535"/>
    <d v="2023-01-05T00:00:00"/>
    <n v="134928.6"/>
    <n v="24287.15"/>
    <x v="20"/>
    <m/>
    <s v="UK18CA4303"/>
    <n v="18.000001482265436"/>
  </r>
  <r>
    <s v="731309147470"/>
    <s v="08AGTPB5912H1ZA / ONS PHARMACEUTICAL"/>
    <s v="05AAECM6380J1ZA / M/S M R HealthCare Pvt. Ltd."/>
    <s v="Jaipur / 302003"/>
    <s v="Ramnagar / 244715"/>
    <s v="731309147470 - 04/01/2023 20:21:00"/>
    <s v="22-23/002573"/>
    <d v="2023-01-04T00:00:00"/>
    <n v="187593.75"/>
    <n v="33766.879999999997"/>
    <x v="1"/>
    <m/>
    <s v="UK06CA9903"/>
    <n v="18.000002665333998"/>
  </r>
  <r>
    <s v="701308875586"/>
    <s v="07AATFD3714H1ZB / DIWAN CHAND SAHANI AND SONS LLP"/>
    <s v="05AAECM6380J1ZA / M/S M R HealthCare Pvt. Ltd."/>
    <s v="Central Delhi / 110005"/>
    <s v="Ramnagar / 244715"/>
    <s v="701308875586 - 03/01/2023 23:12:00"/>
    <s v="DCS/22-23/1825"/>
    <d v="2023-01-03T00:00:00"/>
    <n v="45900"/>
    <n v="8262"/>
    <x v="97"/>
    <s v="FLAVOURS"/>
    <s v="UK18TA0659"/>
    <n v="18"/>
  </r>
  <r>
    <s v="781313635221"/>
    <s v="07ASZPG6153D1ZH / GUNINA PRINT PACK"/>
    <s v="05AAECM6380J1ZA / MR HEALTHCARE PVT LTD"/>
    <s v="Delhi / 110095"/>
    <s v="RAMNAGER / 244715"/>
    <s v="781313635221 - 25/01/2023 21:49:00"/>
    <n v="583"/>
    <d v="2023-01-24T00:00:00"/>
    <n v="92221"/>
    <n v="16599.78"/>
    <x v="20"/>
    <m/>
    <s v="UK18CA4773"/>
    <n v="18"/>
  </r>
  <r>
    <s v="771309613522"/>
    <s v="07AAGFL4546C1ZI / LAXMI PRINT N PACK"/>
    <s v="05AAECM6380J1ZA / M/S M R HealthCare Pvt. Ltd."/>
    <s v="New Delhi / 110028"/>
    <s v="Ramnagar / 244715"/>
    <s v="771309613522 - 07/01/2023 22:18:00"/>
    <s v="2022-2023/1060"/>
    <d v="2023-01-06T00:00:00"/>
    <n v="80176"/>
    <n v="0"/>
    <x v="23"/>
    <s v="BOX"/>
    <s v="UK18TA0659"/>
    <n v="0"/>
  </r>
  <r>
    <s v="731309564570"/>
    <s v="07BPSPA7872N2Z1 / SHARVA INTERNATIONAL"/>
    <s v="05AAECM6380J1ZA / M/S M R HealthCare Pvt. Ltd."/>
    <s v="West Delhi / 110015"/>
    <s v="Ramnagar / 244715"/>
    <s v="731309564570 - 07/01/2023 02:47:00"/>
    <s v="SI-316/22-23"/>
    <d v="2023-01-06T00:00:00"/>
    <n v="230730.5"/>
    <n v="41531.49"/>
    <x v="1"/>
    <m/>
    <s v="UP22T9878"/>
    <n v="18"/>
  </r>
  <r>
    <s v="791309342507"/>
    <s v="07ALSPG4781D1ZW / CRETA PACKAGING"/>
    <s v="05AAECM6380J1ZA / M/S M R HealthCare Pvt. Ltd."/>
    <s v="New Delhi / 110042"/>
    <s v="Ramnagar / 244715"/>
    <s v="791309342507 - 05/01/2023 22:16:00"/>
    <s v="CP/21-23/4"/>
    <d v="2023-01-05T00:00:00"/>
    <n v="63335"/>
    <n v="11400.3"/>
    <x v="23"/>
    <m/>
    <s v="UK18CA4303"/>
    <n v="18"/>
  </r>
  <r>
    <s v="601516618521"/>
    <s v="26AAACA3345D1Z8 / Amisha Vinyls Pvt. Ltd."/>
    <s v="05AAECM6380J1ZA / M.R.HEALTHCARE PVT.LTD."/>
    <s v="Daman / 396210"/>
    <s v="Nainital / 244715"/>
    <s v="601516618521 - 25/01/2023 16:52:00"/>
    <n v="4121"/>
    <d v="2023-01-25T00:00:00"/>
    <n v="68693.64"/>
    <m/>
    <x v="12"/>
    <s v="Pharma grade - 01 - Blue Tone - 0.25mm Thick - 184mm Width - Paper Core 9 - BOX - WL"/>
    <s v="UK06CA1176"/>
    <n v="0"/>
  </r>
  <r>
    <s v="601514831980"/>
    <s v="24AAJCS6842G1Z7 / SUPER LIFE CARE (P.) LTD."/>
    <s v="05AAECM6380J1ZA / M/S M R HealthCare Pvt. Ltd."/>
    <s v="Ahmedabad / 382330"/>
    <s v="Ramnagar / 244715"/>
    <s v="601514831980 - 25/01/2023 02:13:00"/>
    <s v="SLC/22-23/001096"/>
    <d v="2023-01-21T00:00:00"/>
    <n v="56500"/>
    <n v="10170"/>
    <x v="1"/>
    <m/>
    <m/>
    <n v="18"/>
  </r>
  <r>
    <s v="651512664536"/>
    <s v="24AABFC0922C1ZC / COREL PHARMA CHEM"/>
    <s v="05AAECM6380J1ZA / M. R. Healthcare Private Limited"/>
    <s v="Mehsana / 382715"/>
    <s v="Nainital / 244715"/>
    <s v="651512664536 - 18/01/2023 17:53:00"/>
    <s v="INV/22-23/08004"/>
    <d v="2023-01-17T00:00:00"/>
    <n v="26875"/>
    <n v="4837.5"/>
    <x v="98"/>
    <s v="Colorcoat EC4S-C (White) (25 Kg)"/>
    <s v="UP14KT8450"/>
    <n v="18"/>
  </r>
  <r>
    <s v="631511109764"/>
    <s v="24AAACV3832E1ZP / VIKRAM THERMO INDIA LIMITED"/>
    <s v="05AAECM6380J1ZA / M/S M R HealthCare Pvt. Ltd."/>
    <s v="DHANOT / 382729"/>
    <s v="Ramnagar / 244715"/>
    <s v="631511109764 - 12/01/2023 20:12:00"/>
    <s v="I-22-23/1736"/>
    <d v="2023-01-12T00:00:00"/>
    <n v="101250"/>
    <n v="18225"/>
    <x v="46"/>
    <s v="DRCOAT HSP"/>
    <s v="UK19CA5757"/>
    <n v="18"/>
  </r>
  <r>
    <s v="691507089692"/>
    <s v="24AACFK3554D1ZR / KUMAR INDUSTRIES"/>
    <s v="05AAECM6380J1ZA / M R HEALTHCARE PVT LTD"/>
    <s v="AHMEDABAD / 382330"/>
    <s v="UTTARAKHAND / 244715"/>
    <s v="691507089692 - 05/01/2023 22:14:00"/>
    <s v="KI/677/2022"/>
    <d v="2023-01-02T00:00:00"/>
    <n v="105000"/>
    <n v="18900"/>
    <x v="28"/>
    <s v="MEFENAMIC ACID IP"/>
    <s v="UK18CA4767"/>
    <n v="18"/>
  </r>
  <r>
    <s v="361502891913"/>
    <s v="05ABNPA6018N2ZK / Manish Pharma"/>
    <s v="05AAECM6380J1ZA / MR HEALTHCARE PVT LTD"/>
    <s v="ROORKEE / 247667"/>
    <s v="KOSI ROAD,RAMNAGAR / 244715"/>
    <s v="361502891913 - 29/09/2022 00:12:00"/>
    <s v="MPR/22-23/2598"/>
    <d v="2022-09-28T00:00:00"/>
    <n v="1186593"/>
    <n v="213586.74"/>
    <x v="19"/>
    <s v="PARACETAMOL - IP ( MAKE - SARA )"/>
    <s v="UK17CA4306"/>
    <n v="18"/>
  </r>
  <r>
    <s v="341502196908"/>
    <s v="05ALGPC9789H1ZQ / OM PHARMACEUTICALS"/>
    <s v="05AAECM6380J1ZA / M/S M R HealthCare Pvt. Ltd."/>
    <s v="Haridwar / 249402"/>
    <s v="Ramnagar / 244715"/>
    <s v="341502196908 - 27/09/2022 23:40:00"/>
    <s v="OP/00231/2022-23"/>
    <d v="2022-09-27T00:00:00"/>
    <n v="262835"/>
    <n v="47310.3"/>
    <x v="94"/>
    <s v="PROPYLENE GLYCOL USP"/>
    <s v="UK17CA4284"/>
    <n v="18"/>
  </r>
  <r>
    <s v="381502199516"/>
    <s v="05ABNPA6018N2ZK / Manish Pharma"/>
    <s v="05AAECM6380J1ZA / MR HEALTHCARE PVT LTD"/>
    <s v="ROORKEE / 247667"/>
    <s v="KOSI ROAD,RAMNAGAR / 244715"/>
    <s v="381502199516 - 27/09/2022 21:50:00"/>
    <s v="MPR/22-23/2554"/>
    <d v="2022-09-27T00:00:00"/>
    <n v="47523.75"/>
    <n v="8554.2800000000007"/>
    <x v="1"/>
    <s v="DICYCLOMINE HCL IP (INDOCO)"/>
    <s v="UK17CA4284"/>
    <n v="18.000010521055263"/>
  </r>
  <r>
    <s v="391498322331"/>
    <s v="05AAKFV1624K1Z2 / VYALI INTERNATIONAL"/>
    <s v="05AAECM6380J1ZA / M.R HEALTHCARE PVT LTD KASHIPUR"/>
    <s v="ROORKEE / 247667"/>
    <s v="Ramnagar / 244715"/>
    <s v="391498322331 - 20/09/2022 00:37:00"/>
    <s v="RRK/A000638"/>
    <d v="2022-09-19T00:00:00"/>
    <n v="100000"/>
    <n v="18000"/>
    <x v="1"/>
    <s v="29420090"/>
    <s v="UK18CA4303"/>
    <n v="18"/>
  </r>
  <r>
    <s v="321496397132"/>
    <s v="03AABCS6468G1ZD / Nectar Lifesciences Limited"/>
    <s v="05AAECM6380J1ZA / M.R. HEALTHCARE PVT. LTD."/>
    <s v="Derabassi-(Punjab) / 140507"/>
    <s v="RAMNAGAR-(Uttarakhand) / 244715"/>
    <s v="321496397132 - 14/09/2022 17:17:00"/>
    <n v="2210982"/>
    <d v="2022-09-14T00:00:00"/>
    <n v="282100"/>
    <m/>
    <x v="33"/>
    <s v="CEFUROXIME AXETIL (AMORPHOUS) IP"/>
    <s v="UK19CA5757"/>
    <n v="0"/>
  </r>
  <r>
    <s v="311493820456"/>
    <s v="06AYEPS2518M1Z4 / FORTUNE SOURCING"/>
    <s v="05AAECM6380J1ZA / M/S M R HealthCare Pvt. Ltd."/>
    <s v="Gurugram / 122001"/>
    <s v="Ramnagar / 244715"/>
    <s v="311493820456 - 08/09/2022 22:01:00"/>
    <s v="FS/0155/2022-23"/>
    <d v="2022-09-08T00:00:00"/>
    <n v="15275"/>
    <n v="2749.5"/>
    <x v="10"/>
    <s v="LAMI TUBE"/>
    <s v="UK06CA1492"/>
    <n v="18"/>
  </r>
  <r>
    <s v="311503397105"/>
    <s v="05ADVFS5795G1Z9 / SHRI KRISHNA POLYMER"/>
    <s v="05AAECM6380J1ZA / M/S M R HealthCare Pvt. Ltd."/>
    <s v="Haridwar / 247667"/>
    <s v="Ramnagar / 244715"/>
    <s v="311503397105 - 29/09/2022 23:06:00"/>
    <n v="785"/>
    <d v="2022-09-29T00:00:00"/>
    <n v="47175"/>
    <n v="8491.5"/>
    <x v="6"/>
    <s v="MT GOLDEN"/>
    <s v="UK18CA3698"/>
    <n v="18"/>
  </r>
  <r>
    <s v="371503480614"/>
    <s v="05ACMPA7743A1Z1 / M/S VIPIN KUMAR UDIT KUMAR"/>
    <s v="05AAECM6380J1ZA / M/S M R HealthCare Pvt. Ltd."/>
    <s v="RAMNAGAR / 244715"/>
    <s v="Ramnagar / 244715"/>
    <s v="371503480614 - 29/09/2022 18:12:00"/>
    <s v="22-23/282"/>
    <d v="2022-09-29T00:00:00"/>
    <n v="499728.81"/>
    <n v="89951.18"/>
    <x v="99"/>
    <s v="ORCHID JR GEFT SET"/>
    <s v="UK06CB7163"/>
    <n v="17.999998839370498"/>
  </r>
  <r>
    <s v="341503183558"/>
    <s v="05AAQCS5989R1ZZ / M/S SATYAM SHIVAM PACKAGING PRIVATE LIMITED"/>
    <s v="05AAECM6380J1ZA / M/S M R HealthCare Pvt. Ltd."/>
    <s v="Udham Singh Nagar / 263153"/>
    <s v="RAMNAGAR NAINITAL / 244715"/>
    <s v="341503183558 - 29/09/2022 11:43:00"/>
    <s v="SSP/22-23/988"/>
    <d v="2022-09-29T00:00:00"/>
    <n v="55633"/>
    <n v="10013.94"/>
    <x v="18"/>
    <s v="503X331X288(07 PLY C BOX)"/>
    <s v="UK06CA7002"/>
    <n v="18"/>
  </r>
  <r>
    <s v="361502384736"/>
    <s v="05ACPFS1430H1Z7 / M/S SWASTIK ART CREATIONS"/>
    <s v="05AAECM6380J1ZA / M/S M R HealthCare Pvt. Ltd."/>
    <s v="Haridwar / 247667"/>
    <s v="Ramnagar / 244715"/>
    <s v="361502384736 - 28/09/2022 00:45:00"/>
    <s v="S/0856/22-23"/>
    <d v="2022-09-27T00:00:00"/>
    <n v="52682.45"/>
    <n v="9482.84"/>
    <x v="4"/>
    <s v="CARTONS"/>
    <s v="UK17CA4284"/>
    <n v="17.999998101834674"/>
  </r>
  <r>
    <s v="311501729610"/>
    <s v="05AAACU6175D1ZI / UNNATI PHARMACEUTICALS PVT LTD"/>
    <s v="05AAECM6380J1ZA / M R HEALTHCARE PVT LTD"/>
    <s v="ROORKEE / 247667"/>
    <s v="Ramnagar / 244715"/>
    <s v="311501729610 - 28/09/2022 00:45:00"/>
    <s v="ROOR000929"/>
    <d v="2022-09-26T00:00:00"/>
    <n v="174817"/>
    <n v="31467.06"/>
    <x v="26"/>
    <s v="P.V.P.K.-30"/>
    <s v="UK17CA4284"/>
    <n v="18"/>
  </r>
  <r>
    <s v="381502300981"/>
    <s v="05AABCA8568R1ZZ / ABS Mercantiles Pvt. Ltd."/>
    <s v="05AAECM6380J1ZA / M.R. HEALTHCARE PVT. LTD."/>
    <s v="UTTARAKHAND / 247667"/>
    <s v="Ram Nagar / 244715"/>
    <s v="381502300981 - 27/09/2022 21:50:00"/>
    <s v="ABSR/22-23/0438"/>
    <d v="2022-09-27T00:00:00"/>
    <n v="368145"/>
    <n v="66266"/>
    <x v="1"/>
    <s v="Itraconazole Pellets 22% BP"/>
    <s v="UK17CA4284"/>
    <n v="17.999972836789851"/>
  </r>
  <r>
    <s v="361502188815"/>
    <s v="05AAKFV1624K1Z2 / M/S VYALI INTERNATIONAL"/>
    <s v="05AAECM6380J1ZA / M/S M R HealthCare Pvt. Ltd."/>
    <s v="Haridwar / 247667"/>
    <s v="Ramnagar / 244715"/>
    <s v="361502188815 - 27/09/2022 21:50:00"/>
    <s v="RRK/A000668"/>
    <d v="2022-09-27T00:00:00"/>
    <n v="400000"/>
    <n v="72000"/>
    <x v="1"/>
    <s v="H L MEDICINE"/>
    <s v="UK17CA4284"/>
    <n v="18"/>
  </r>
  <r>
    <s v="381502139190"/>
    <s v="05AAJFB5728K1ZA / Blize Printers 2022-23"/>
    <s v="05AAECM6380J1ZA / M.R. HEALTHCARE PVT. LTD."/>
    <s v="BHAGWANPUR / 247661"/>
    <s v="Ramnagar / 244715"/>
    <s v="381502139190 - 27/09/2022 21:50:00"/>
    <s v="BP/22-23/2054"/>
    <d v="2022-09-25T00:00:00"/>
    <n v="63507.5"/>
    <n v="11431.36"/>
    <x v="8"/>
    <s v="Carton"/>
    <s v="UK17CA4284"/>
    <n v="18.000015746171712"/>
  </r>
  <r>
    <s v="391502329161"/>
    <s v="02AAACU6175D1ZO / UNNATI PHARMACEUTICALS PVT LTD"/>
    <s v="05AAECM6380J1ZA / M R HEALTHCARE PVT LTD"/>
    <s v="BADDI / 173205"/>
    <s v="Ramnagar / 244715"/>
    <s v="391502329161 - 27/09/2022 21:13:00"/>
    <s v="BADI003210"/>
    <d v="2022-09-27T00:00:00"/>
    <n v="78500"/>
    <n v="14130"/>
    <x v="68"/>
    <s v="WACKER HDK N-20"/>
    <s v="UK06CB8289"/>
    <n v="18"/>
  </r>
  <r>
    <s v="351502337089"/>
    <s v="05AAACY8180G1Z7 / YURVIE PACKAGING PRIVATE LIMITED"/>
    <s v="05AAECM6380J1ZA / M/S M R HealthCare Pvt. Ltd."/>
    <s v="BHAGWANPUR / 247661"/>
    <s v="Ramnagar / 244715"/>
    <s v="351502337089 - 27/09/2022 18:12:00"/>
    <s v="Y/22-23/0780"/>
    <d v="2022-09-27T00:00:00"/>
    <n v="91245"/>
    <n v="16424.099999999999"/>
    <x v="9"/>
    <s v="LAMI TUBE"/>
    <s v="UK06CB4708"/>
    <n v="17.999999999999996"/>
  </r>
  <r>
    <s v="341500967195"/>
    <s v="05ADVFS5795G1Z9 / SHRI KRISHNA POLYMER"/>
    <s v="05AAECM6380J1ZA / M/S M R HealthCare Pvt. Ltd."/>
    <s v="Haridwar / 247667"/>
    <s v="Ramnagar / 244715"/>
    <s v="341500967195 - 24/09/2022 23:42:00"/>
    <n v="763"/>
    <d v="2022-09-24T00:00:00"/>
    <n v="79285.440000000002"/>
    <n v="14271.38"/>
    <x v="6"/>
    <s v="mt silver"/>
    <s v="UK18CA4773"/>
    <n v="18.0000010090125"/>
  </r>
  <r>
    <s v="371500921989"/>
    <s v="02AKAPC8938R1ZU / COAT AND COAT PHARMACARE"/>
    <s v="05AAECM6380J1ZA / M/S M R HealthCare Pvt. Ltd."/>
    <s v="Solan / 173205"/>
    <s v="Ramnagar / 244715"/>
    <s v="371500921989 - 24/09/2022 21:06:00"/>
    <n v="880"/>
    <d v="2022-09-24T00:00:00"/>
    <n v="90000"/>
    <n v="16200"/>
    <x v="46"/>
    <s v="TABLET COATING MATERIAL"/>
    <s v="UK06CB8289"/>
    <n v="18"/>
  </r>
  <r>
    <s v="391500987929"/>
    <s v="05HVVPS7064F1ZS / QUANTUM PHARMA CHEM"/>
    <s v="05AAECM6380J1ZA / M/S M R HealthCare Pvt. Ltd."/>
    <s v="Haridwar / 247667"/>
    <s v="Ramnagar / 244715"/>
    <s v="391500987929 - 24/09/2022 15:53:00"/>
    <n v="396"/>
    <d v="2022-09-24T00:00:00"/>
    <n v="82500"/>
    <n v="14850"/>
    <x v="25"/>
    <m/>
    <s v="UK18CA0203"/>
    <n v="18"/>
  </r>
  <r>
    <s v="361500105100"/>
    <s v="05AAJFB5728K1ZA / Blize Printers 2022-23"/>
    <s v="05AAECM6380J1ZA / M.R. HEALTHCARE PVT. LTD."/>
    <s v="BHAGWANPUR / 247661"/>
    <s v="Ramnagar / 244715"/>
    <s v="361500105100 - 22/09/2022 23:35:00"/>
    <s v="BP/22-23/2014"/>
    <d v="2022-09-22T00:00:00"/>
    <n v="83314.5"/>
    <n v="14996.62"/>
    <x v="8"/>
    <s v="Carton"/>
    <s v="UK18CA3698"/>
    <n v="18.000012002712612"/>
  </r>
  <r>
    <s v="311499892264"/>
    <s v="05AAJFB5728K1ZA / Blize Printers 2022-23"/>
    <s v="05AAECM6380J1ZA / M.R. HEALTHCARE PVT. LTD."/>
    <s v="BHAGWANPUR / 247661"/>
    <s v="Ramnagar / 244715"/>
    <s v="311499892264 - 22/09/2022 23:35:00"/>
    <s v="BP/22-23/1989"/>
    <d v="2022-09-21T00:00:00"/>
    <n v="175767.7"/>
    <n v="31638.22"/>
    <x v="8"/>
    <s v="Carton"/>
    <s v="UK18CA3698"/>
    <n v="18.000019343713319"/>
  </r>
  <r>
    <s v="371499962284"/>
    <s v="06AABCF5740N1ZG / Alutech Packaging Private Limited"/>
    <s v="05AAECM6380J1ZA / M R HEALTHCARE PVT LTD"/>
    <s v="Bahadurgarh / 124507"/>
    <s v="NANITAL / 244715"/>
    <s v="371499962284 - 22/09/2022 14:21:00"/>
    <s v="APPL/22-23/3762"/>
    <d v="2022-09-22T00:00:00"/>
    <n v="861221.4"/>
    <n v="155019.85"/>
    <x v="14"/>
    <s v="Aluminium Foil"/>
    <s v="UK18CA6794"/>
    <n v="17.99999976777168"/>
  </r>
  <r>
    <s v="391499531556"/>
    <s v="05ABNPA6018N2ZK / Manish Pharma"/>
    <s v="05AAECM6380J1ZA / MR HEALTHCARE PVT LTD"/>
    <s v="ROORKEE / 247667"/>
    <s v="KOSI ROAD,RAMNAGAR / 244715"/>
    <s v="391499531556 - 21/09/2022 23:18:00"/>
    <s v="MPR/22-23/2463"/>
    <d v="2022-09-21T00:00:00"/>
    <n v="1036768.13"/>
    <n v="186618.26"/>
    <x v="33"/>
    <s v="AZITHROMYCIN IP (CSPC)"/>
    <s v="UK18CA5709"/>
    <n v="17.999999672057822"/>
  </r>
  <r>
    <s v="391499642618"/>
    <s v="05AAJFG0319D1ZZ / GANESH METAL INDUSTRIES"/>
    <s v="05AAECM6380J1ZA / MR HEALTH CARE"/>
    <s v="ROORKEE / 247667"/>
    <s v="Ramnagar / 244715"/>
    <s v="391499642618 - 21/09/2022 23:18:00"/>
    <s v="GMI/22-23/0594"/>
    <d v="2022-09-21T00:00:00"/>
    <n v="54080"/>
    <n v="9734.4"/>
    <x v="80"/>
    <s v="PP CAP PLAIN SILVER 25MM31013"/>
    <s v="UK18CA5709"/>
    <n v="18"/>
  </r>
  <r>
    <s v="331499619177"/>
    <s v="05ABNFA2675D1ZK / AURA PACKAGING"/>
    <s v="05AAECM6380J1ZA / M/S M R HealthCare Pvt. Ltd."/>
    <s v="Udham Singh Nagar / 263153"/>
    <s v="Ramnagar / 244715"/>
    <s v="331499619177 - 21/09/2022 18:09:00"/>
    <s v="AP/2022-23/00407"/>
    <d v="2022-09-21T00:00:00"/>
    <n v="45538.25"/>
    <n v="8196.8799999999992"/>
    <x v="23"/>
    <m/>
    <s v="UK06CB7086"/>
    <n v="17.999989020219264"/>
  </r>
  <r>
    <s v="301498980611"/>
    <s v="05ABNPA6018N2ZK / Manish Pharma"/>
    <s v="05AAECM6380J1ZA / MR HEALTHCARE PVT LTD"/>
    <s v="ROORKEE / 247667"/>
    <s v="KOSI ROAD,RAMNAGAR / 244715"/>
    <s v="301498980611 - 20/09/2022 22:40:00"/>
    <s v="MPR/22-23/2448"/>
    <d v="2022-09-20T00:00:00"/>
    <n v="268634.25"/>
    <n v="48354.16"/>
    <x v="100"/>
    <s v="METFORMIN HCL IP (AARTI DRUGS)"/>
    <s v="UK18CA4303"/>
    <n v="17.99999813873324"/>
  </r>
  <r>
    <s v="381498286050"/>
    <s v="05ANTPS9188H1Z0 / G K PHARMA"/>
    <s v="05AAECM6380J1ZA / MR HEALTHCARE PVT LTD"/>
    <s v="ROORKEE / 247667"/>
    <s v="Ramnagar / 244715"/>
    <s v="381498286050 - 20/09/2022 00:37:00"/>
    <s v="GKUK/0843/22-23"/>
    <d v="2022-09-19T00:00:00"/>
    <n v="43725"/>
    <n v="7870.5"/>
    <x v="5"/>
    <m/>
    <s v="UK18CA4303"/>
    <n v="18"/>
  </r>
  <r>
    <s v="301498549128"/>
    <s v="05AASFR5565R1Z4 / M/S ROORKEE FOIL"/>
    <s v="05AAECM6380J1ZA / M/S M R HealthCare Pvt. Ltd."/>
    <s v="Haridwar / 247667"/>
    <s v="Ramnagar / 244715"/>
    <s v="301498549128 - 20/09/2022 00:37:00"/>
    <s v="RK/22-23/1302"/>
    <d v="2022-09-19T00:00:00"/>
    <n v="69631.399999999994"/>
    <n v="12533.66"/>
    <x v="101"/>
    <s v="STRIP PAPER PRINTED"/>
    <s v="UK18CS4303"/>
    <n v="18.000011489069589"/>
  </r>
  <r>
    <s v="381497735102"/>
    <s v="05AAKFV1624K1Z2 / VYALI INTERNATIONAL"/>
    <s v="05AAECM6380J1ZA / M.R HEALTHCARE PVT LTD KASHIPUR"/>
    <s v="ROORKEE / 247667"/>
    <s v="Ramnagar / 244715"/>
    <s v="381497735102 - 17/09/2022 23:54:00"/>
    <s v="RRK/A000632"/>
    <d v="2022-09-17T00:00:00"/>
    <n v="288000"/>
    <n v="51840"/>
    <x v="1"/>
    <s v="29420090"/>
    <s v="UK18TA0659"/>
    <n v="18"/>
  </r>
  <r>
    <s v="341497841832"/>
    <s v="05AAKFV1624K1Z2 / M/S VYALI INTERNATIONAL"/>
    <s v="05AAECM6380J1ZA / M/S M R HealthCare Pvt. Ltd."/>
    <s v="ROORKEE / 247667"/>
    <s v="Ramnagar / 244715"/>
    <s v="341497841832 - 17/09/2022 21:54:00"/>
    <s v="RRK/A000635"/>
    <d v="2022-09-17T00:00:00"/>
    <n v="47620"/>
    <n v="8571.6"/>
    <x v="1"/>
    <s v="H L MEDICINE"/>
    <s v="DL01LAC2874"/>
    <n v="18"/>
  </r>
  <r>
    <s v="391497441091"/>
    <s v="05AASFR5565R1Z4 / M/S ROORKEE FOIL"/>
    <s v="05AAECM6380J1ZA / M/S M R HealthCare Pvt. Ltd."/>
    <s v="Haridwar / 247667"/>
    <s v="Ramnagar / 244715"/>
    <s v="391497441091 - 16/09/2022 22:53:00"/>
    <s v="RK/22-23/1272"/>
    <d v="2022-09-16T00:00:00"/>
    <n v="98032.7"/>
    <n v="17645.88"/>
    <x v="101"/>
    <s v="STRIP PAPER PRINTED"/>
    <s v="UK17CA4642"/>
    <n v="17.999993879593237"/>
  </r>
  <r>
    <s v="371497304699"/>
    <s v="05AABCA8568R1ZZ / ABS Mercantiles Pvt. Ltd."/>
    <s v="05AAECM6380J1ZA / M.R. HEALTHCARE PVT. LTD."/>
    <s v="UTTARAKHAND / 247667"/>
    <s v="Ram Nagar / 244715"/>
    <s v="371497304699 - 16/09/2022 22:53:00"/>
    <s v="ABSR/22-23/0417"/>
    <d v="2022-09-16T00:00:00"/>
    <n v="697500"/>
    <n v="125550"/>
    <x v="1"/>
    <s v="Itraconazole Pellets 40% -BP"/>
    <s v="UK17CA4642"/>
    <n v="18"/>
  </r>
  <r>
    <s v="371497445026"/>
    <s v="05ABIPJ4175A1Z2 / MAHAVEER AGENCIES, HARIDWAR"/>
    <s v="05AAECM6380J1ZA / M.R.Healthcare Pvt.Ltd,"/>
    <s v="HARIDWAR / 249401"/>
    <s v="KASHIPUR / 244715"/>
    <s v="371497445026 - 16/09/2022 19:45:00"/>
    <s v="MA/22-23/01801"/>
    <d v="2022-09-16T00:00:00"/>
    <n v="120000"/>
    <n v="21600"/>
    <x v="50"/>
    <s v="ISO PROPYL ALCOHOL IP."/>
    <s v="UK17CA4642"/>
    <n v="18"/>
  </r>
  <r>
    <s v="331497358230"/>
    <s v="05ABSFA7387F1Z0 / AASTHA MEDI SOLUTIONS"/>
    <s v="05AAECM6380J1ZA / M/S M R HealthCare Pvt. Ltd."/>
    <s v="Haridwar / 247667"/>
    <s v="Ramnagar / 244715"/>
    <s v="331497358230 - 16/09/2022 16:09:00"/>
    <n v="611"/>
    <d v="2022-09-16T00:00:00"/>
    <n v="9300"/>
    <n v="1674"/>
    <x v="11"/>
    <s v="PRINTED ROLLER"/>
    <s v="UK17CA4642"/>
    <n v="18"/>
  </r>
  <r>
    <s v="391497356229"/>
    <s v="05ABSFA7387F1Z0 / AASTHA MEDI SOLUTIONS"/>
    <s v="05AAECM6380J1ZA / M/S M R HealthCare Pvt. Ltd."/>
    <s v="Haridwar / 247667"/>
    <s v="Ramnagar / 244715"/>
    <s v="391497356229 - 16/09/2022 16:06:00"/>
    <n v="610"/>
    <d v="2022-09-16T00:00:00"/>
    <n v="127423.2"/>
    <n v="22936.18"/>
    <x v="14"/>
    <s v="PRINTED ALUMINIUM FOIL"/>
    <s v="UK17CA4642"/>
    <n v="18.000003139145775"/>
  </r>
  <r>
    <s v="331496447737"/>
    <s v="05ACPFS1430H1Z7 / M/S SWASTIK ART CREATIONS"/>
    <s v="05AAECM6380J1ZA / M/S M R HealthCare Pvt. Ltd."/>
    <s v="Haridwar / 247667"/>
    <s v="Ramnagar / 244715"/>
    <s v="331496447737 - 15/09/2022 00:43:00"/>
    <s v="S/0810/22-23"/>
    <d v="2022-09-14T00:00:00"/>
    <n v="55932.25"/>
    <n v="10067.799999999999"/>
    <x v="4"/>
    <s v="CARTONS"/>
    <s v="UK18TA0659"/>
    <n v="17.999991060613507"/>
  </r>
  <r>
    <s v="331496435633"/>
    <s v="02AKAPC8938R1ZU / COAT AND COAT PHARMACARE"/>
    <s v="05AAECM6380J1ZA / M/S M R HealthCare Pvt. Ltd."/>
    <s v="Solan / 173205"/>
    <s v="Ramnagar / 244715"/>
    <s v="331496435633 - 14/09/2022 20:43:00"/>
    <n v="818"/>
    <d v="2022-09-13T00:00:00"/>
    <n v="102500"/>
    <n v="18450"/>
    <x v="46"/>
    <s v="TABLET COATING MATERIAL"/>
    <s v="UK06CB8289"/>
    <n v="18"/>
  </r>
  <r>
    <s v="301496106941"/>
    <s v="05ALGPC9789H1ZQ / OM PHARMACEUTICALS"/>
    <s v="05AAECM6380J1ZA / M/S M R HealthCare Pvt. Ltd."/>
    <s v="Haridwar / 249402"/>
    <s v="Ramnagar / 244715"/>
    <s v="301496106941 - 14/09/2022 19:36:00"/>
    <s v="OP/00216/2022-23"/>
    <d v="2022-09-14T00:00:00"/>
    <n v="70000"/>
    <n v="12600"/>
    <x v="49"/>
    <s v="CROSS CARMELOSE SODIUM BP"/>
    <s v="UK17CA4284"/>
    <n v="18"/>
  </r>
  <r>
    <s v="331495892532"/>
    <s v="05AAJFB5728K1ZA / Blize Printers 2022-23"/>
    <s v="05AAECM6380J1ZA / M.R. HEALTHCARE PVT. LTD."/>
    <s v="BHAGWANPUR / 247661"/>
    <s v="Ramnagar / 244715"/>
    <s v="331495892532 - 14/09/2022 00:39:00"/>
    <s v="BP/22-23/1898"/>
    <d v="2022-09-13T00:00:00"/>
    <n v="90490.6"/>
    <n v="16288.34"/>
    <x v="8"/>
    <s v="Carton"/>
    <s v="UK18CA4303"/>
    <n v="18.000035362789063"/>
  </r>
  <r>
    <s v="331495912939"/>
    <s v="03AABCS6468G1ZD / Nectar Lifesciences Limited"/>
    <s v="05AAECM6380J1ZA / M.R. HEALTHCARE PVT. LTD."/>
    <s v="Derabassi-(Punjab) / 140507"/>
    <s v="RAMNAGAR-(Uttarakhand) / 244715"/>
    <s v="331495912939 - 13/09/2022 17:47:00"/>
    <n v="1210911"/>
    <d v="2022-09-13T00:00:00"/>
    <n v="550000"/>
    <m/>
    <x v="33"/>
    <s v="CEFPODOXIME PROXETIL IP (COMP.)"/>
    <s v="UK12CB0926"/>
    <n v="0"/>
  </r>
  <r>
    <s v="301494993978"/>
    <s v="05AAQCS5989R1ZZ / M/S SATYAM SHIVAM PACKAGING PRIVATE LIMITED"/>
    <s v="05AAECM6380J1ZA / M/S M R HealthCare Pvt. Ltd."/>
    <s v="Udham Singh Nagar / 263153"/>
    <s v="RAMNAGAR NAINITAL / 244715"/>
    <s v="301494993978 - 11/09/2022 16:31:00"/>
    <s v="SSP/22-23/891"/>
    <d v="2022-09-11T00:00:00"/>
    <n v="64103.3"/>
    <n v="11538.6"/>
    <x v="18"/>
    <s v="465X375X395(5 PLY C BOX)"/>
    <s v="UK06CB0108"/>
    <n v="18.000009359892548"/>
  </r>
  <r>
    <s v="331494680516"/>
    <s v="02AAACU6175D1ZO / UNNATI PHARMACEUTICALS PVT LTD"/>
    <s v="05AAECM6380J1ZA / M R HEALTHCARE PVT LTD"/>
    <s v="BADDI / 173205"/>
    <s v="Ramnagar / 244715"/>
    <s v="331494680516 - 10/09/2022 19:41:00"/>
    <s v="BADI002904"/>
    <d v="2022-09-10T00:00:00"/>
    <n v="58500"/>
    <n v="10530"/>
    <x v="1"/>
    <s v="AMBROXOL HYDROCHLORIDE"/>
    <s v="UK06CB8289"/>
    <n v="18"/>
  </r>
  <r>
    <s v="331494161529"/>
    <s v="05AAKFV1624K1Z2 / M/S VYALI INTERNATIONAL"/>
    <s v="05AAECM6380J1ZA / M/S M R HealthCare Pvt. Ltd."/>
    <s v="Haridwar / 247667"/>
    <s v="Ramnagar / 244715"/>
    <s v="331494161529 - 09/09/2022 22:26:00"/>
    <s v="RRK/A000589"/>
    <d v="2022-09-09T00:00:00"/>
    <n v="900000"/>
    <n v="162000"/>
    <x v="19"/>
    <s v="H L MEDICINE"/>
    <s v="UK17CA1878"/>
    <n v="18"/>
  </r>
  <r>
    <s v="381493646233"/>
    <s v="05AAKFV1624K1Z2 / M/S VYALI INTERNATIONAL"/>
    <s v="05AAECM6380J1ZA / M/S M R HealthCare Pvt. Ltd."/>
    <s v="ROORKEE / 247667"/>
    <s v="Ramnagar / 244715"/>
    <s v="381493646233 - 08/09/2022 23:37:00"/>
    <s v="RRK/A000575"/>
    <d v="2022-09-08T00:00:00"/>
    <n v="192000"/>
    <n v="34560"/>
    <x v="1"/>
    <s v="H L MEDICINE"/>
    <s v="UK18CA5709"/>
    <n v="18"/>
  </r>
  <r>
    <s v="351493814943"/>
    <s v="05ACPFS1430H1Z7 / M/S SWASTIK ART CREATIONS"/>
    <s v="05AAECM6380J1ZA / M/S M R HealthCare Pvt. Ltd."/>
    <s v="Haridwar / 247667"/>
    <s v="Ramnagar / 244715"/>
    <s v="351493814943 - 08/09/2022 23:37:00"/>
    <s v="S/0784/22-23"/>
    <d v="2022-09-08T00:00:00"/>
    <n v="45187.199999999997"/>
    <n v="8133.7"/>
    <x v="4"/>
    <s v="CARTONS"/>
    <s v="UK18CA5709"/>
    <n v="18.000008852064301"/>
  </r>
  <r>
    <s v="381493704180"/>
    <s v="05AAJFB5728K1ZA / Blize Printers 2022-23"/>
    <s v="05AAECM6380J1ZA / M.R. HEALTHCARE PVT. LTD."/>
    <s v="BHAGWANPUR / 247661"/>
    <s v="Ramnagar / 244715"/>
    <s v="381493704180 - 08/09/2022 23:37:00"/>
    <s v="BP/22-23/1841"/>
    <d v="2022-09-08T00:00:00"/>
    <n v="55532.9"/>
    <n v="9995.94"/>
    <x v="8"/>
    <s v="Carton"/>
    <s v="UK18CA5709"/>
    <n v="18.000032413218111"/>
  </r>
  <r>
    <s v="361491192237"/>
    <s v="06AYEPS2518M1Z4 / FORTUNE SOURCING"/>
    <s v="05AAECM6380J1ZA / M/S M R HealthCare Pvt. Ltd."/>
    <s v="Gurugram / 122001"/>
    <s v="Ramnagar / 244715"/>
    <s v="361491192237 - 07/09/2022 22:50:00"/>
    <s v="FS/0147/2022-23"/>
    <d v="2022-09-02T00:00:00"/>
    <n v="71586"/>
    <n v="12885.48"/>
    <x v="10"/>
    <s v="LAMI TUBE"/>
    <s v="HP12G9896"/>
    <n v="18"/>
  </r>
  <r>
    <s v="361493093178"/>
    <s v="05AAJFB5728K1ZA / Blize Printers 2022-23"/>
    <s v="05AAECM6380J1ZA / M.R. HEALTHCARE PVT. LTD."/>
    <s v="BHAGWANPUR / 247661"/>
    <s v="Ramnagar / 244715"/>
    <s v="361493093178 - 07/09/2022 22:46:00"/>
    <s v="BP/22-23/1829"/>
    <d v="2022-09-07T00:00:00"/>
    <n v="115374.48"/>
    <n v="20767.419999999998"/>
    <x v="8"/>
    <s v="Carton"/>
    <s v="UK18CA3698"/>
    <n v="18.000011787702096"/>
  </r>
  <r>
    <s v="311493333277"/>
    <s v="05ABSFA7387F1Z0 / AASTHA MEDI SOLUTIONS"/>
    <s v="05AAECM6380J1ZA / M/S M R HealthCare Pvt. Ltd."/>
    <s v="Haridwar / 247667"/>
    <s v="Ramnagar / 244715"/>
    <s v="311493333277 - 07/09/2022 18:34:00"/>
    <n v="581"/>
    <d v="2022-09-07T00:00:00"/>
    <n v="21100"/>
    <n v="3798"/>
    <x v="11"/>
    <s v="printing roller"/>
    <s v="UK18CA3698"/>
    <n v="18"/>
  </r>
  <r>
    <s v="311493332191"/>
    <s v="05ABSFA7387F1Z0 / AASTHA MEDI SOLUTIONS"/>
    <s v="05AAECM6380J1ZA / M/S M R HealthCare Pvt. Ltd."/>
    <s v="Haridwar / 247667"/>
    <s v="Ramnagar / 244715"/>
    <s v="311493332191 - 07/09/2022 18:33:00"/>
    <n v="580"/>
    <d v="2022-09-07T00:00:00"/>
    <n v="49104.5"/>
    <n v="8838.7999999999993"/>
    <x v="14"/>
    <s v="alumunium printed foil"/>
    <s v="UK18CA3698"/>
    <n v="17.999979635267643"/>
  </r>
  <r>
    <s v="351493207172"/>
    <s v="06AFVPG3592H1Z1 / SHREE SHYAM PACKAGING"/>
    <s v="05AAECM6380J1ZA / M/S M R HealthCare Pvt. Ltd."/>
    <s v="Jhajjar / 124507"/>
    <s v="Ramnagar / 244715"/>
    <s v="351493207172 - 07/09/2022 15:53:00"/>
    <s v="SSP/22-23/433"/>
    <d v="2022-09-07T00:00:00"/>
    <n v="54558.2"/>
    <n v="9820.48"/>
    <x v="64"/>
    <m/>
    <s v="UK18CA5709"/>
    <n v="18.000007331620179"/>
  </r>
  <r>
    <s v="381493163956"/>
    <s v="02CUTPA2142J1ZV / Manish Pharma Drug House"/>
    <s v="05AAECM6380J1ZA / MR HEALTHCARE PVT LTD"/>
    <s v="BADDI / 173205"/>
    <s v="Ramnagar / 244715"/>
    <s v="381493163956 - 07/09/2022 14:48:00"/>
    <s v="MPDH/22-23/0238"/>
    <d v="2022-09-07T00:00:00"/>
    <n v="1100550"/>
    <n v="198099"/>
    <x v="19"/>
    <s v="PARACETAMOL IP ( VALIANT )"/>
    <s v="UK18CA3698"/>
    <n v="18"/>
  </r>
  <r>
    <s v="381493006383"/>
    <s v="05ABNFA2675D1ZK / AURA PACKAGING"/>
    <s v="05AAECM6380J1ZA / M/S M R HealthCare Pvt. Ltd."/>
    <s v="Udham Singh Nagar / 263153"/>
    <s v="Ramnagar / 244715"/>
    <s v="381493006383 - 07/09/2022 10:08:00"/>
    <s v="AP/2022-23/00364"/>
    <d v="2022-09-07T00:00:00"/>
    <n v="43480.55"/>
    <n v="7826.5"/>
    <x v="23"/>
    <m/>
    <s v="UK06CB7086"/>
    <n v="18.000002299878911"/>
  </r>
  <r>
    <s v="301492602810"/>
    <s v="05AABCA8568R1ZZ / ABS Mercantiles Pvt. Ltd."/>
    <s v="05AAECM6380J1ZA / M.R. HEALTHCARE PVT. LTD."/>
    <s v="UTTARAKHAND / 247667"/>
    <s v="Ram Nagar / 244715"/>
    <s v="301492602810 - 07/09/2022 00:06:00"/>
    <s v="ABSR/22-23/0391"/>
    <d v="2022-09-06T00:00:00"/>
    <n v="1674000"/>
    <n v="301320"/>
    <x v="32"/>
    <s v="AMOXICILLIN TRIHYDRATE COMPACTED IP"/>
    <s v="UK18CA4773"/>
    <n v="18"/>
  </r>
  <r>
    <s v="391492149075"/>
    <s v="05ANTPS9188H1Z0 / G K PHARMA"/>
    <s v="05AAECM6380J1ZA / MR HEALTHCARE PVT LTD"/>
    <s v="ROORKEE / 247667"/>
    <s v="Ramnagar / 244715"/>
    <s v="391492149075 - 05/09/2022 23:47:00"/>
    <s v="GKUK/0761/22-23"/>
    <d v="2022-09-05T00:00:00"/>
    <n v="111350"/>
    <n v="20043"/>
    <x v="5"/>
    <m/>
    <s v="UK18CA4773"/>
    <n v="18"/>
  </r>
  <r>
    <s v="351491620959"/>
    <s v="05ABNPA6018N2ZK / Manish Pharma"/>
    <s v="05AAECM6380J1ZA / MR HEALTHCARE PVT LTD"/>
    <s v="ROORKEE / 247667"/>
    <s v="KOSI ROAD,RAMNAGAR / 244715"/>
    <s v="351491620959 - 04/09/2022 17:25:00"/>
    <s v="MPR/22-23/2152"/>
    <d v="2022-09-03T00:00:00"/>
    <n v="1200600"/>
    <n v="216108"/>
    <x v="19"/>
    <s v="PARACETAMOL I.P./B.P( PARA )"/>
    <s v="UK17CA1878"/>
    <n v="18"/>
  </r>
  <r>
    <s v="351491708031"/>
    <s v="05AAJFB5728K1ZA / Blize Printers 2022-23"/>
    <s v="05AAECM6380J1ZA / M.R. HEALTHCARE PVT. LTD."/>
    <s v="BHAGWANPUR / 247661"/>
    <s v="Ramnagar / 244715"/>
    <s v="351491708031 - 04/09/2022 17:25:00"/>
    <s v="BP/22-23/1800"/>
    <d v="2022-09-03T00:00:00"/>
    <n v="40829.339999999997"/>
    <n v="7349.28"/>
    <x v="8"/>
    <s v="Carton"/>
    <s v="UK17CA1878"/>
    <n v="17.999997060937062"/>
  </r>
  <r>
    <s v="371491696167"/>
    <s v="06AHSPG5007A1ZS / Shree Shyam Enterprises"/>
    <s v="05AAECM6380J1ZA / M/S M R HealthCare Pvt. Ltd."/>
    <s v="Jhajjar / 124507"/>
    <s v="Ramnagar / 244715"/>
    <s v="371491696167 - 03/09/2022 17:35:00"/>
    <s v="SSE/22-23/488"/>
    <d v="2022-09-02T00:00:00"/>
    <n v="89100.5"/>
    <n v="16038.09"/>
    <x v="102"/>
    <m/>
    <s v="UK06CB5759"/>
    <n v="18"/>
  </r>
  <r>
    <s v="351491047103"/>
    <s v="05AABCA8568R1ZZ / ABS Mercantiles Pvt. Ltd."/>
    <s v="05AAECM6380J1ZA / M.R. HEALTHCARE PVT. LTD."/>
    <s v="UTTARAKHAND / 247667"/>
    <s v="Ram Nagar / 244715"/>
    <s v="351491047103 - 02/09/2022 23:43:00"/>
    <s v="ABSR/22-23/0384"/>
    <d v="2022-09-02T00:00:00"/>
    <n v="368145"/>
    <n v="66266"/>
    <x v="1"/>
    <s v="Itraconazole Pellets 22% BP"/>
    <s v="UK18CA5709"/>
    <n v="17.999972836789851"/>
  </r>
  <r>
    <s v="331491205552"/>
    <s v="05AASFR5565R1Z4 / M/S ROORKEE FOIL"/>
    <s v="05AAECM6380J1ZA / M/S M R HealthCare Pvt. Ltd."/>
    <s v="Haridwar / 247667"/>
    <s v="Ramnagar / 244715"/>
    <s v="331491205552 - 02/09/2022 23:43:00"/>
    <s v="RK/22-23/1166"/>
    <d v="2022-09-02T00:00:00"/>
    <n v="73735"/>
    <n v="13272.3"/>
    <x v="20"/>
    <s v="BLISTER FOIL PRINTED"/>
    <s v="UK18CA5709"/>
    <n v="18"/>
  </r>
  <r>
    <s v="381491250010"/>
    <s v="05AAJFB5728K1ZA / Blize Printers 2022-23"/>
    <s v="05AAECM6380J1ZA / M.R. HEALTHCARE PVT. LTD."/>
    <s v="BHAGWANPUR / 247661"/>
    <s v="Ramnagar / 244715"/>
    <s v="381491250010 - 02/09/2022 23:43:00"/>
    <s v="BP/22-23/1786"/>
    <d v="2022-09-02T00:00:00"/>
    <n v="213719.95"/>
    <n v="36717.22"/>
    <x v="8"/>
    <s v="Carton"/>
    <s v="UK18CA5709"/>
    <n v="17.180062039131116"/>
  </r>
  <r>
    <s v="391490741279"/>
    <s v="05AABCA8568R1ZZ / ABS Mercantiles Pvt. Ltd."/>
    <s v="05AAECM6380J1ZA / M.R. HEALTHCARE PVT. LTD."/>
    <s v="UTTARAKHAND / 247667"/>
    <s v="Ram Nagar / 244715"/>
    <s v="391490741279 - 01/09/2022 23:43:00"/>
    <s v="ABSR/22-23/0383"/>
    <d v="2022-09-01T00:00:00"/>
    <n v="870000"/>
    <n v="156600"/>
    <x v="33"/>
    <s v="CEFIXIME T.H. COMPACTED IP"/>
    <s v="UK18CA4773"/>
    <n v="18"/>
  </r>
  <r>
    <s v="381490749452"/>
    <s v="05ABNPA6018N2ZK / Manish Pharma"/>
    <s v="05AAECM6380J1ZA / MR HEALTHCARE PVT LTD"/>
    <s v="ROORKEE / 247667"/>
    <s v="KOSI ROAD,RAMNAGAR / 244715"/>
    <s v="381490749452 - 01/09/2022 23:43:00"/>
    <s v="MPR/22-23/2124"/>
    <d v="2022-09-01T00:00:00"/>
    <n v="304152"/>
    <n v="54747.360000000001"/>
    <x v="1"/>
    <s v="ACECLOFENAC IP ( SARA )"/>
    <s v="UK18CA4773"/>
    <n v="18"/>
  </r>
  <r>
    <s v="391490858355"/>
    <s v="05ABIPT0216G1ZY / M/S Gautam Minirals Chemicals"/>
    <s v="05AAECM6380J1ZA / M/S M R HealthCare Pvt. Ltd."/>
    <s v="Rudarpur / 263153"/>
    <s v="Ramnagar / 244715"/>
    <s v="391490858355 - 01/09/2022 21:46:00"/>
    <s v="22-23/236"/>
    <d v="2022-09-01T00:00:00"/>
    <n v="253500"/>
    <n v="30420"/>
    <x v="16"/>
    <m/>
    <s v="UK06CB6728"/>
    <n v="12"/>
  </r>
  <r>
    <s v="381490171738"/>
    <s v="05ANTPS9188H1Z0 / G K PHARMA"/>
    <s v="05AAECM6380J1ZA / MR HEALTHCARE PVT LTD"/>
    <s v="ROORKEE / 247667"/>
    <s v="Ramnagar / 244715"/>
    <s v="381490171738 - 01/09/2022 00:57:00"/>
    <s v="GKUK/0737/22-23"/>
    <d v="2022-08-31T00:00:00"/>
    <n v="111350"/>
    <n v="20043"/>
    <x v="5"/>
    <m/>
    <s v="UK18CA3698"/>
    <n v="18"/>
  </r>
  <r>
    <s v="371490219291"/>
    <s v="05AASFR5565R1Z4 / M/S ROORKEE FOIL"/>
    <s v="05AAECM6380J1ZA / M/S M R HealthCare Pvt. Ltd."/>
    <s v="Haridwar / 247667"/>
    <s v="Ramnagar / 244715"/>
    <s v="371490219291 - 01/09/2022 00:57:00"/>
    <s v="RK/22-23/1154"/>
    <d v="2022-08-31T00:00:00"/>
    <n v="58481.26"/>
    <n v="10526.62"/>
    <x v="20"/>
    <s v="BLISTER FOIL PRINTED"/>
    <s v="UK18CA3698"/>
    <n v="17.999988372343552"/>
  </r>
  <r>
    <s v="241486860993"/>
    <s v="27AAFCS9959Q1Z4 / SNEHA MEDICARE PVT LTD"/>
    <s v="05AAECM6380J1ZA / MR HEALTHCARE PVTLTD"/>
    <s v="BHIWANDI / 421302"/>
    <s v="DISTNAINITAL, / 244715"/>
    <s v="241486860993 - 30/09/2022 13:46:00"/>
    <s v="H04973"/>
    <d v="2022-09-26T00:00:00"/>
    <n v="300125"/>
    <n v="54022.5"/>
    <x v="103"/>
    <m/>
    <s v="UK18CA4773"/>
    <n v="18"/>
  </r>
  <r>
    <s v="281484907939"/>
    <s v="27AACPA0543Q1ZS / KHUSHI CHEM"/>
    <s v="05AAECM6380J1ZA / M R HEALTHCARE PVT LTD"/>
    <s v="DIST.THANE / 421302"/>
    <s v="Nainital / 244715"/>
    <s v="281484907939 - 26/09/2022 14:04:00"/>
    <n v="320"/>
    <d v="2022-09-22T00:00:00"/>
    <n v="432432"/>
    <n v="77838"/>
    <x v="1"/>
    <m/>
    <s v="UK18CA3698"/>
    <n v="18.000055500055499"/>
  </r>
  <r>
    <s v="241485566104"/>
    <s v="27AABCF2009E1Z7 / FARMACHEM LIFE PRIVATE LIMITED"/>
    <s v="05AAECM6380J1ZA / M/S M R HealthCare Pvt. Ltd."/>
    <s v="BHIWANDI / 421302"/>
    <s v="Nainital / 244715"/>
    <s v="241485566104 - 24/09/2022 19:42:00"/>
    <s v="SAL/0697"/>
    <d v="2022-09-23T00:00:00"/>
    <n v="700000"/>
    <n v="126000"/>
    <x v="32"/>
    <s v="IP COMPACTED"/>
    <m/>
    <n v="18"/>
  </r>
  <r>
    <s v="281485993234"/>
    <s v="27AAXFP8362R1ZU / PHARMACARE INTERNATIONAL"/>
    <s v="05AAECM6380J1ZA / M.R.HEALTHCARE PVT.LTD"/>
    <s v="Bhiwandi-Dist-Thane / 421302"/>
    <s v="DIST NAINITAL / 244715"/>
    <s v="281485993234 - 24/09/2022 16:01:00"/>
    <s v="22-23/0236"/>
    <d v="2022-09-24T00:00:00"/>
    <n v="279000"/>
    <n v="50220"/>
    <x v="32"/>
    <s v="AMOXYCILLIN TRIHYDRATE"/>
    <s v="UK18CA3698"/>
    <n v="18"/>
  </r>
  <r>
    <s v="261483635288"/>
    <s v="27AABCA3876G1ZN / AQUATIC REMEDIES LIMITED"/>
    <s v="05AAECM6380J1ZA / M.R. HEALTHCARE PVT.LTD."/>
    <s v="THANE / 421302"/>
    <s v="DIST NAINITAL / 244715"/>
    <s v="261483635288 - 22/09/2022 17:19:00"/>
    <s v="2022-23/G/2733"/>
    <d v="2022-09-19T00:00:00"/>
    <n v="2469582"/>
    <n v="444524.76"/>
    <x v="104"/>
    <s v="AZITHROMYCIN DIHYDRATE"/>
    <s v="UK18CA5709"/>
    <n v="18"/>
  </r>
  <r>
    <s v="241483348421"/>
    <s v="27AAFCS9959Q1Z4 / SNEHA MEDICARE PVT LTD"/>
    <s v="05AAECM6380J1ZA / MR HEALTHCARE PVTLTD"/>
    <s v="BHIWANDI / 421302"/>
    <s v="DISTNAINITAL, / 244715"/>
    <s v="241483348421 - 22/09/2022 16:13:00"/>
    <s v="H04777"/>
    <d v="2022-09-19T00:00:00"/>
    <n v="182500"/>
    <n v="32850"/>
    <x v="41"/>
    <m/>
    <s v="UK18TA0659"/>
    <n v="18"/>
  </r>
  <r>
    <s v="281480968266"/>
    <s v="27AAGCD6581N1Z0 / DPB PHARMACEUTICALS LIMITED"/>
    <s v="05AAECM6380J1ZA / M R HEALTHCARE PVT LTD"/>
    <s v="Maharashtra / 421302"/>
    <s v="Ramnagar / 244715"/>
    <s v="281480968266 - 19/09/2022 13:39:00"/>
    <s v="B01052"/>
    <d v="2022-09-14T00:00:00"/>
    <n v="320000"/>
    <n v="57600"/>
    <x v="105"/>
    <s v="CITICOLINE SODIUM IP"/>
    <s v="UK18TA0659"/>
    <n v="18"/>
  </r>
  <r>
    <s v="231481558748"/>
    <s v="27AAACG1463E1ZZ / Gangwal Chemicals Private Limited"/>
    <s v="05AAECM6380J1ZA / MR Healthcare Pvt Ltd"/>
    <s v="Bhiwandi / 421302"/>
    <s v="UTTARAKHAND / 244715"/>
    <s v="231481558748 - 17/09/2022 15:45:00"/>
    <s v="A6/S/22-23/1551"/>
    <d v="2022-09-15T00:00:00"/>
    <n v="78000"/>
    <n v="14040"/>
    <x v="25"/>
    <s v="Low Substituted Hydroxy Propyl Cellulose (LP-11)"/>
    <s v="UK18CA3698"/>
    <n v="18"/>
  </r>
  <r>
    <s v="271481652422"/>
    <s v="27AICPM2590B1ZJ / SADHANA ENTERPRISES"/>
    <s v="05AAECM6380J1ZA / M R HEALTHCARE PVT LTD"/>
    <s v="THANE Z5 / 421302"/>
    <s v="Nainital / 244715"/>
    <s v="271481652422 - 16/09/2022 23:08:00"/>
    <n v="1573"/>
    <d v="2022-09-15T00:00:00"/>
    <n v="55528"/>
    <n v="9995"/>
    <x v="1"/>
    <s v="FUSIDIC ACID IP/BP"/>
    <s v="UK06CA7927"/>
    <n v="17.999927964270277"/>
  </r>
  <r>
    <s v="201481208550"/>
    <s v="27AAEFG6529J1Z5 / GORANG INTERNATIONAL"/>
    <s v="05AAECM6380J1ZA / M. R. HEALTHCARE PVT. LTD"/>
    <s v="BHIWANDI / 421302"/>
    <s v="DIST. NAINIITAL / 244715"/>
    <s v="201481208550 - 16/09/2022 15:34:00"/>
    <s v="GI/3414"/>
    <d v="2022-09-14T00:00:00"/>
    <n v="363000"/>
    <n v="65340"/>
    <x v="106"/>
    <s v="CAFFEINE ANHYDROUS"/>
    <s v="UK18CA4767"/>
    <n v="18"/>
  </r>
  <r>
    <s v="271482053947"/>
    <s v="27AAXFP8362R1ZU / PHARMACARE INTERNATIONAL"/>
    <s v="05AAECM6380J1ZA / M.R.HEALTHCARE PVT.LTD"/>
    <s v="Bhiwandi-Dist-Thane / 421302"/>
    <s v="DIST NAINITAL / 244715"/>
    <s v="271482053947 - 16/09/2022 14:57:00"/>
    <s v="22-23/0205"/>
    <d v="2022-09-16T00:00:00"/>
    <n v="1395000"/>
    <n v="251100"/>
    <x v="32"/>
    <s v="AMOXYCILLIN TRIHYDRATE"/>
    <s v="UK18CA3698"/>
    <n v="18"/>
  </r>
  <r>
    <s v="251479488750"/>
    <s v="27AABFF5289R1ZM / FARMA FUSION"/>
    <s v="05AAECM6380J1ZA / M R HEALTHCARE PRIVATE LIMITED"/>
    <s v="BHIWANDI / 421302"/>
    <s v="Ramnagar / 244715"/>
    <s v="251479488750 - 13/09/2022 05:11:00"/>
    <n v="222631"/>
    <d v="2022-09-10T00:00:00"/>
    <n v="69484.5"/>
    <n v="12507.21"/>
    <x v="30"/>
    <m/>
    <s v="UP14JT7811"/>
    <n v="18"/>
  </r>
  <r>
    <s v="221480086685"/>
    <s v="27AAXFP8362R1ZU / PHARMACARE INTERNATIONAL"/>
    <s v="05AAECM6380J1ZA / M.R.HEALTHCARE PVT.LTD"/>
    <s v="PANCHAKULA / 133302"/>
    <s v="DIST NAINITAL / 244715"/>
    <s v="221480086685 - 12/09/2022 16:44:00"/>
    <s v="22-23/0191"/>
    <d v="2022-09-12T00:00:00"/>
    <n v="145000"/>
    <n v="26100"/>
    <x v="85"/>
    <s v="29419020"/>
    <s v="UK18CA4303"/>
    <n v="18"/>
  </r>
  <r>
    <s v="201479252655"/>
    <s v="27AAACN3558R1ZT / NECTAR DRUGS PVT.LTD."/>
    <s v="05AAECM6380J1ZA / M. R. HEALTHCARE PVT. LTD."/>
    <s v="Thane / 421302"/>
    <s v="Uttrakhand / 244715"/>
    <s v="201479252655 - 12/09/2022 16:21:00"/>
    <s v="2022-23/000676"/>
    <d v="2022-09-10T00:00:00"/>
    <n v="43794"/>
    <n v="7882.92"/>
    <x v="107"/>
    <s v="ETORICOXIB"/>
    <s v="UK18CA4773"/>
    <n v="18"/>
  </r>
  <r>
    <s v="271477603603"/>
    <s v="27AAGCD6581N1Z0 / DPB PHARMACEUTICALS LIMITED"/>
    <s v="05AAECM6380J1ZA / M R HEALTHCARE PVT LTD"/>
    <s v="Maharashtra / 421302"/>
    <s v="Ramnagar / 244715"/>
    <s v="271477603603 - 09/09/2022 13:35:00"/>
    <s v="B00981"/>
    <d v="2022-09-06T00:00:00"/>
    <n v="512000"/>
    <n v="92160"/>
    <x v="105"/>
    <s v="CITICOLINE SODIUM IP"/>
    <s v="UK18CA4773"/>
    <n v="18"/>
  </r>
  <r>
    <s v="241477791545"/>
    <s v="27AABFF5289R1ZM / FARMA FUSION, PURNA VILLAGE, BHIWANDI"/>
    <s v="05AAECM6380J1ZA / M/S M R HealthCare Pvt. Ltd."/>
    <s v="PURNA VILLAGE, BHIWANDI / 421302"/>
    <s v="Ramnagar / 244715"/>
    <s v="241477791545 - 08/09/2022 00:34:00"/>
    <n v="222568"/>
    <d v="2022-09-06T00:00:00"/>
    <n v="44472"/>
    <n v="8004.96"/>
    <x v="1"/>
    <s v="DAPOXETINE HCL IP"/>
    <s v="UP14JT7811"/>
    <n v="18"/>
  </r>
  <r>
    <s v="201477773215"/>
    <s v="27AAEPM1479M1Z9 / MONARCH PHARMACHEM"/>
    <s v="05AAECM6380J1ZA / M R HEALTHCARE PVT LTD"/>
    <s v="BHIWANDI / 421302"/>
    <s v="UTTARAKHAND / 244715"/>
    <s v="201477773215 - 07/09/2022 17:28:00"/>
    <n v="1761"/>
    <d v="2022-09-06T00:00:00"/>
    <n v="59810"/>
    <n v="10765.8"/>
    <x v="1"/>
    <s v="ATORVASTATIN CALCIUM IP"/>
    <s v="HR38T0499"/>
    <n v="18"/>
  </r>
  <r>
    <s v="201477962868"/>
    <s v="27AABCS4582P1ZP / SHUBHAM PHARMACHEM PVT LTD"/>
    <s v="05AAECM6380J1ZA / M/S M R HealthCare Pvt. Ltd."/>
    <s v="RAHNAL VILLAGE BHIWANDI  THANE / 421302"/>
    <s v="RAMNAGAR NAINITAL / 244715"/>
    <s v="201477962868 - 07/09/2022 17:27:00"/>
    <s v="SPPL/22-23/D2406"/>
    <d v="2022-09-06T00:00:00"/>
    <n v="270000"/>
    <n v="48600"/>
    <x v="67"/>
    <s v="IP"/>
    <s v="UK18CA4303"/>
    <n v="18"/>
  </r>
  <r>
    <s v="211477123765"/>
    <s v="27AABCS4582P1ZP / SHUBHAM PHARMACHEM PVT LTD"/>
    <s v="05AAECM6380J1ZA / M/S M R HealthCare Pvt. Ltd."/>
    <s v="RAHNAL VILLAGE BHIWANDI  THANE / 421302"/>
    <s v="Ramnagar / 244715"/>
    <s v="211477123765 - 06/09/2022 18:35:00"/>
    <s v="SPPL/22-23/D2367"/>
    <d v="2022-09-03T00:00:00"/>
    <n v="99500"/>
    <n v="17910"/>
    <x v="1"/>
    <s v="IP"/>
    <s v="UK18CA4303"/>
    <n v="18"/>
  </r>
  <r>
    <s v="211476534421"/>
    <s v="27AAXFP8362R1ZU / PHARMACARE INTERNATIONAL"/>
    <s v="05AAECM6380J1ZA / M.R.HEALTHCARE PVT.LTD"/>
    <s v="PANCHAKULA / 133302"/>
    <s v="DIST NAINITAL / 244715"/>
    <s v="211476534421 - 03/09/2022 14:49:00"/>
    <s v="22-23/0181"/>
    <d v="2022-09-03T00:00:00"/>
    <n v="290000"/>
    <n v="52200"/>
    <x v="85"/>
    <s v="29419020"/>
    <s v="UK18TA0659"/>
    <n v="18"/>
  </r>
  <r>
    <s v="241476020789"/>
    <s v="27AAACG1864F1ZS / G.C.Chemie Pharmie Ltd."/>
    <s v="05AAECM6380J1ZA / M.R Healthcare Pvt. Ltd"/>
    <s v="BHIWANDI,DIST-THANE / 421302"/>
    <s v="Ramnagar / 244715"/>
    <s v="241476020789 - 02/09/2022 12:51:00"/>
    <s v="GCBH000743"/>
    <d v="2022-09-01T00:00:00"/>
    <n v="830000"/>
    <n v="149400"/>
    <x v="33"/>
    <s v="AZITHROMYCIN"/>
    <s v="UK18CA4303"/>
    <n v="18"/>
  </r>
  <r>
    <s v="201487667784"/>
    <s v="27AABCA3876G1ZN / AQUATIC REMEDIES LIMITED"/>
    <s v="05AAECM6380J1ZA / M.R. HEALTHCARE PVT.LTD."/>
    <s v="THANE / 421302"/>
    <s v="DIST NAINITAL / 244715"/>
    <s v="201487667784 - 29/09/2022 15:01:00"/>
    <s v="2022-23/G/2902"/>
    <d v="2022-09-27T00:00:00"/>
    <n v="550000"/>
    <n v="99000"/>
    <x v="85"/>
    <s v="CEPHALEXIN MONO HYDRATE"/>
    <s v="UK18TA1004"/>
    <n v="18"/>
  </r>
  <r>
    <s v="271487242678"/>
    <s v="27AAACS0699E1ZB / SUNSHINE ORGANICS PVT LTD"/>
    <s v="05AAECM6380J1ZA / M/S M R HealthCare Pvt. Ltd."/>
    <s v="Palghar / 401506"/>
    <s v="RAMNAGAR, DIST- NAINITAL / 244715"/>
    <s v="271487242678 - 27/09/2022 18:46:00"/>
    <s v="2022-23/501"/>
    <d v="2022-09-27T00:00:00"/>
    <n v="80000"/>
    <n v="14400"/>
    <x v="88"/>
    <s v="MAGNESIUM STEARATE IP"/>
    <s v="UK18TA1008"/>
    <n v="18"/>
  </r>
  <r>
    <s v="251483887927"/>
    <s v="27AABCP3959K1ZZ / PRAGATI RAW PHARMA PVT. LTD."/>
    <s v="05AAECM6380J1ZA / M.R.HEALTHCARE PVT LTD"/>
    <s v="BHIWANDI / 421302"/>
    <s v="Nainital / 244715"/>
    <s v="251483887927 - 23/09/2022 21:41:00"/>
    <s v="2022-23/M1081"/>
    <d v="2022-09-20T00:00:00"/>
    <n v="61000"/>
    <n v="10980"/>
    <x v="40"/>
    <s v="ONDENSETRON DI HYD .HCL"/>
    <s v="UK18CA3698"/>
    <n v="18"/>
  </r>
  <r>
    <s v="231484393357"/>
    <s v="27AAFPP9715L1Z4 / ATMAN PHARMACEUTICALS"/>
    <s v="05AAECM6380J1ZA / M.R.HEALTHCARE PVT. LTD."/>
    <s v="DIST THANE / 421302"/>
    <s v="Nainital / 244715"/>
    <s v="231484393357 - 23/09/2022 21:41:00"/>
    <s v="SAL/0909"/>
    <d v="2022-09-21T00:00:00"/>
    <n v="157500"/>
    <n v="28350"/>
    <x v="29"/>
    <s v="PYRANTEL PAMOATE USP"/>
    <s v="UK18CA3698"/>
    <n v="18"/>
  </r>
  <r>
    <s v="231482585084"/>
    <s v="27AABCS4582P1ZP / SHUBHAM PHARMACHEM PVT LTD"/>
    <s v="05AAECM6380J1ZA / M/S M R HealthCare Pvt. Ltd."/>
    <s v="RAHNAL VILLAGE BHIWANDI  THANE / 421302"/>
    <s v="Ramnagar / 244715"/>
    <s v="231482585084 - 21/09/2022 14:35:00"/>
    <s v="SPPL/22-23/D2591"/>
    <d v="2022-09-17T00:00:00"/>
    <n v="83750"/>
    <n v="15075"/>
    <x v="82"/>
    <s v="USP"/>
    <s v="UK18TA0659"/>
    <n v="18"/>
  </r>
  <r>
    <s v="241482231841"/>
    <s v="27AABFF5289R1ZM / FARMA FUSION"/>
    <s v="05AAECM6380J1ZA / M R HEALTHCARE PRIVATE LIMITED"/>
    <s v="BHIWANDI / 421302"/>
    <s v="Ramnagar / 244715"/>
    <s v="241482231841 - 18/09/2022 20:08:00"/>
    <n v="222769"/>
    <d v="2022-09-16T00:00:00"/>
    <n v="45722.63"/>
    <n v="8230.07"/>
    <x v="86"/>
    <m/>
    <s v="MH04KF5822"/>
    <n v="17.999992563857329"/>
  </r>
  <r>
    <s v="221480576272"/>
    <s v="27AAFCS9959Q1Z4 / SNEHA MEDICARE PVT LTD"/>
    <s v="05AAECM6380J1ZA / MR HEALTHCARE PVTLTD"/>
    <s v="BHIWANDI / 421302"/>
    <s v="DISTNAINITAL, / 244715"/>
    <s v="221480576272 - 17/09/2022 15:45:00"/>
    <s v="H04592"/>
    <d v="2022-09-13T00:00:00"/>
    <n v="76250"/>
    <n v="13725"/>
    <x v="40"/>
    <m/>
    <s v="UK18CA3698"/>
    <n v="18"/>
  </r>
  <r>
    <s v="221485231350"/>
    <s v="27AAACH8217P1Z5 / HEER PHARMA PVT LTD"/>
    <s v="05AAECM6380J1ZA / M/S M R HealthCare Pvt. Ltd."/>
    <s v="Mumbai / 400025"/>
    <s v="Ramnagar / 244715"/>
    <s v="221485231350 - 26/09/2022 19:01:00"/>
    <s v="2022-23/000347"/>
    <d v="2022-09-22T00:00:00"/>
    <n v="186250"/>
    <n v="33525"/>
    <x v="1"/>
    <m/>
    <s v="UK18CA3698"/>
    <n v="18"/>
  </r>
  <r>
    <s v="111532552962"/>
    <s v="36ADXFS3103L1ZL / S B HEALTHCARE"/>
    <s v="05AAECM6380J1ZA / M/S M R HealthCare Pvt. Ltd."/>
    <s v="Sangareddy / 502296"/>
    <s v="Ramnagar / 244715"/>
    <s v="111532552962 - 26/09/2022 15:42:00"/>
    <s v="SBH/0069/22-23"/>
    <d v="2022-09-26T00:00:00"/>
    <n v="214260"/>
    <n v="38566.800000000003"/>
    <x v="108"/>
    <s v="Clopidogrel Pellets 50.0"/>
    <s v="UK18CA6153"/>
    <n v="18.000000000000004"/>
  </r>
  <r>
    <s v="281496929017"/>
    <s v="27AABFF5289R1ZM / FARMA FUSION"/>
    <s v="05AAECM6380J1ZA / M R HEALTHCARE PRIVATE LIMITED"/>
    <s v="BHIWANDI / 421302"/>
    <s v="Ramnagar / 244715"/>
    <s v="281496929017 - 22/10/2022 22:57:00"/>
    <n v="223368"/>
    <d v="2022-10-17T00:00:00"/>
    <n v="54401.86"/>
    <n v="9792.33"/>
    <x v="38"/>
    <m/>
    <s v="HR55AG1802"/>
    <n v="17.999991176772266"/>
  </r>
  <r>
    <s v="211496607550"/>
    <s v="27AAFCS9959Q1Z4 / SNEHA MEDICARE PVT LTD"/>
    <s v="05AAECM6380J1ZA / MR HEALTHCARE PVTLTD"/>
    <s v="BHIWANDI / 421302"/>
    <s v="DISTNAINITAL, / 244715"/>
    <s v="211496607550 - 20/10/2022 19:34:00"/>
    <s v="H05568"/>
    <d v="2022-10-17T00:00:00"/>
    <n v="160500"/>
    <n v="28890"/>
    <x v="100"/>
    <m/>
    <s v="UK18CA3698"/>
    <n v="18"/>
  </r>
  <r>
    <s v="231496006331"/>
    <s v="27AICPM2590B1ZJ / SADHANA ENTERPRISES"/>
    <s v="05AAECM6380J1ZA / M R HEALTHCARE PVT LTD"/>
    <s v="THANE Z5 / 421302"/>
    <s v="Nainital / 244715"/>
    <s v="231496006331 - 18/10/2022 00:09:00"/>
    <n v="1851"/>
    <d v="2022-10-14T00:00:00"/>
    <n v="76288"/>
    <n v="13732"/>
    <x v="33"/>
    <s v="MONTELUKAST SODIUM IP"/>
    <s v="HR38AA4437"/>
    <n v="18.000209731543624"/>
  </r>
  <r>
    <s v="221493251212"/>
    <s v="27AAAFD0923D1Z3 / DILIPKUMAR &amp; CO."/>
    <s v="05AAECM6380J1ZA / M.R.HEALTHCARE PVT. LTD."/>
    <s v="THANE / 421302"/>
    <s v="UTTARAKHAND / 244715"/>
    <s v="221493251212 - 11/10/2022 18:41:00"/>
    <s v="2022-23/0642"/>
    <d v="2022-10-10T00:00:00"/>
    <n v="483638"/>
    <n v="87054.84"/>
    <x v="109"/>
    <s v="DOXYCYCLINE HYCLATE"/>
    <s v="UK18TA0659"/>
    <n v="18"/>
  </r>
  <r>
    <s v="261488665714"/>
    <s v="27AABFF5289R1ZM / FARMA FUSION"/>
    <s v="05AAECM6380J1ZA / M R HEALTHCARE PRIVATE LIMITED"/>
    <s v="BHIWANDI / 421302"/>
    <s v="Ramnagar / 244715"/>
    <s v="261488665714 - 01/10/2022 16:13:00"/>
    <n v="223029"/>
    <d v="2022-09-29T00:00:00"/>
    <n v="48774.25"/>
    <n v="8779.36"/>
    <x v="57"/>
    <m/>
    <s v="HR38T0499"/>
    <n v="17.999989748689114"/>
  </r>
  <r>
    <s v="251500640287"/>
    <s v="27AABFC8539M1Z0 / CENTRAL DRUG HOUSE"/>
    <s v="05AAECM6380J1ZA / M.R.HEALTHCARE PVT.LTD."/>
    <s v="Bhiwandi / 421302"/>
    <s v="Nainital / 244715"/>
    <s v="251500640287 - 29/10/2022 14:10:00"/>
    <s v="CDH1529"/>
    <d v="2022-10-28T00:00:00"/>
    <n v="63052"/>
    <n v="11349.36"/>
    <x v="106"/>
    <s v="CAFFINE ANHYDROUS IP"/>
    <s v="UK18TA0659"/>
    <n v="18"/>
  </r>
  <r>
    <s v="201496910848"/>
    <s v="27AAAFP8067G1Z2 / PIOMA CHEMICALS"/>
    <s v="05AAECM6380J1ZA / M R HEALTHCARE PVT LTD"/>
    <s v="THANE / 421302"/>
    <s v="Nainital / 244715"/>
    <s v="201496910848 - 19/10/2022 14:09:00"/>
    <n v="107438"/>
    <d v="2022-10-17T00:00:00"/>
    <n v="167500"/>
    <n v="30150"/>
    <x v="42"/>
    <m/>
    <s v="UK18CA4767"/>
    <n v="18"/>
  </r>
  <r>
    <s v="221498855233"/>
    <s v="27AAFPP9715L1Z4 / ATMAN PHARMACEUTICALS"/>
    <s v="05AAECM6380J1ZA / M.R.HEALTHCARE PVT. LTD."/>
    <s v="DIST THANE / 421302"/>
    <s v="Nainital / 244715"/>
    <s v="221498855233 - 23/10/2022 12:48:00"/>
    <s v="SAL/1094"/>
    <d v="2022-10-21T00:00:00"/>
    <n v="262500"/>
    <n v="47250"/>
    <x v="29"/>
    <s v="PYRANTEL PAMOATE USP"/>
    <m/>
    <n v="18"/>
  </r>
  <r>
    <s v="271493847904"/>
    <s v="27AAXFP8362R1ZU / PHARMACARE INTERNATIONAL"/>
    <s v="05AAECM6380J1ZA / M.R.HEALTHCARE PVT.LTD"/>
    <s v="Bhiwandi-Dist-Thane / 421302"/>
    <s v="DIST NAINITAL / 244715"/>
    <s v="271493847904 - 11/10/2022 15:43:00"/>
    <s v="22-23/0271"/>
    <d v="2022-10-11T00:00:00"/>
    <n v="900000"/>
    <n v="162000"/>
    <x v="32"/>
    <s v="AMOXYCILLIN TRIHYDRATE"/>
    <s v="UK18CA5709"/>
    <n v="18"/>
  </r>
  <r>
    <s v="351506407599"/>
    <s v="02AAJFT0869K1ZY / TRADEX INDIA"/>
    <s v="05AAECM6380J1ZA / M/S M R HealthCare Pvt. Ltd."/>
    <s v="Sirmaur / 173030"/>
    <s v="Ramnagar / 244715"/>
    <s v="351506407599 - 06/10/2022 22:28:00"/>
    <s v="TI-464"/>
    <d v="2022-10-06T00:00:00"/>
    <n v="660660"/>
    <n v="118918.8"/>
    <x v="57"/>
    <s v="PHARMA RAW MATERIAL"/>
    <s v="UK18CA4303"/>
    <n v="18"/>
  </r>
  <r>
    <s v="391516855649"/>
    <s v="05ALGPC9789H1ZQ / OM PHARMACEUTICALS"/>
    <s v="05AAECM6380J1ZA / M/S M R HealthCare Pvt. Ltd."/>
    <s v="Haridwar / 249402"/>
    <s v="Ramnagar / 244715"/>
    <s v="391516855649 - 31/10/2022 19:57:00"/>
    <s v="OP/00265/2022-23"/>
    <d v="2022-10-31T00:00:00"/>
    <n v="82000"/>
    <n v="14760"/>
    <x v="25"/>
    <s v="MCCP ACECEL102 IP"/>
    <s v="UK18CA3698"/>
    <n v="18"/>
  </r>
  <r>
    <s v="321515526279"/>
    <s v="05ABIPT0216G1ZY / M/S Gautam Minirals Chemicals"/>
    <s v="05AAECM6380J1ZA / M/S M R HealthCare Pvt. Ltd."/>
    <s v="Nainital / 263139"/>
    <s v="Ramnagar / 244715"/>
    <s v="321515526279 - 28/10/2022 09:28:00"/>
    <s v="22-23/311"/>
    <d v="2022-10-28T00:00:00"/>
    <n v="192375"/>
    <n v="23085"/>
    <x v="16"/>
    <m/>
    <s v="UK06CB1337"/>
    <n v="12"/>
  </r>
  <r>
    <s v="301514318783"/>
    <s v="05ABIPT0216G1ZY / M/S Gautam Minirals Chemicals"/>
    <s v="05AAECM6380J1ZA / M/S M R HealthCare Pvt. Ltd."/>
    <s v="Nainital / 263139"/>
    <s v="Ramnagar / 244715"/>
    <s v="301514318783 - 22/10/2022 13:35:00"/>
    <s v="22-23/308"/>
    <d v="2022-10-22T00:00:00"/>
    <n v="42750"/>
    <n v="5130"/>
    <x v="16"/>
    <m/>
    <s v="UK04CA6641"/>
    <n v="12"/>
  </r>
  <r>
    <s v="371513966641"/>
    <s v="05AAJFB5728K1ZA / Blize Printers (2022-23)"/>
    <s v="05AAECM6380J1ZA / M.R. HEALTHCARE PVT. LTD."/>
    <s v="BHAGWANPUR / 247661"/>
    <s v="Ramnagar / 244715"/>
    <s v="371513966641 - 22/10/2022 02:01:00"/>
    <s v="BP/22-23/2360"/>
    <d v="2022-10-21T00:00:00"/>
    <n v="48308.9"/>
    <n v="8695.6"/>
    <x v="8"/>
    <s v="Carton"/>
    <s v="UK18CA4767"/>
    <n v="17.99999585997611"/>
  </r>
  <r>
    <s v="311512636859"/>
    <s v="02AKAPC8938R1ZU / COAT AND COAT PHARMACARE"/>
    <s v="05AAECM6380J1ZA / M/S M R HealthCare Pvt. Ltd."/>
    <s v="Solan / 173205"/>
    <s v="Ramnagar / 244715"/>
    <s v="311512636859 - 20/10/2022 18:12:00"/>
    <n v="1000"/>
    <d v="2022-10-19T00:00:00"/>
    <n v="42500"/>
    <n v="7650"/>
    <x v="46"/>
    <s v="TABLET COATING MATERIAL"/>
    <s v="UK06CB8289"/>
    <n v="18"/>
  </r>
  <r>
    <s v="361511679397"/>
    <s v="05ABNPA6018N2ZK / Manish Pharma"/>
    <s v="05AAECM6380J1ZA / MR HEALTHCARE PVT LTD"/>
    <s v="ROORKEE / 247667"/>
    <s v="KOSI ROAD,RAMNAGAR / 244715"/>
    <s v="361511679397 - 17/10/2022 23:35:00"/>
    <s v="MPR/22-23/2897"/>
    <d v="2022-10-17T00:00:00"/>
    <n v="571285.5"/>
    <n v="102831.4"/>
    <x v="32"/>
    <s v="AMOXYCILLIN TRIHYDRATE COMPACTED IP (DALAS)"/>
    <s v="UK18CA5709"/>
    <n v="18.000001750438265"/>
  </r>
  <r>
    <s v="331507342488"/>
    <s v="05ANTPS9188H1Z0 / G K PHARMA"/>
    <s v="05AAECM6380J1ZA / MR HEALTHCARE PVT LTD"/>
    <s v="ROORKEE / 247667"/>
    <s v="Ramnagar / 244715"/>
    <s v="331507342488 - 08/10/2022 22:58:00"/>
    <s v="GKUK/0961/22-23"/>
    <d v="2022-10-08T00:00:00"/>
    <n v="219100"/>
    <n v="39438"/>
    <x v="57"/>
    <m/>
    <s v="UK17CA4322"/>
    <n v="18"/>
  </r>
  <r>
    <s v="361505708623"/>
    <s v="06AYEPS2518M1Z4 / FORTUNE SOURCING"/>
    <s v="05AAECM6380J1ZA / M/S M R HealthCare Pvt. Ltd."/>
    <s v="Gurugram / 122001"/>
    <s v="Ramnagar / 244715"/>
    <s v="361505708623 - 08/10/2022 00:59:00"/>
    <s v="FS/0182/2022-23"/>
    <d v="2022-10-04T00:00:00"/>
    <n v="39073.4"/>
    <n v="7033.21"/>
    <x v="10"/>
    <s v="LAMI TUBE"/>
    <s v="HR55AL5571"/>
    <n v="17.999994881428286"/>
  </r>
  <r>
    <s v="361506423176"/>
    <s v="05AAJFB5728K1ZA / Blize Printers (2022-23)"/>
    <s v="05AAECM6380J1ZA / M.R. HEALTHCARE PVT. LTD."/>
    <s v="BHAGWANPUR / 247661"/>
    <s v="Ramnagar / 244715"/>
    <s v="361506423176 - 06/10/2022 23:47:00"/>
    <s v="BP/22-23/2169"/>
    <d v="2022-10-06T00:00:00"/>
    <n v="56994.9"/>
    <n v="10259.1"/>
    <x v="8"/>
    <s v="Carton"/>
    <s v="UK17CA1878"/>
    <n v="18.000031581773104"/>
  </r>
  <r>
    <s v="361506539853"/>
    <s v="05BTNPD9977N2ZP / MUDRA PRESS"/>
    <s v="05AAECM6380J1ZA / M/S M R HealthCare Pvt. Ltd."/>
    <s v="Dehradun / 248001"/>
    <s v="Ramnagar / 244715"/>
    <s v="361506539853 - 06/10/2022 19:37:00"/>
    <s v="MP/22-23/177"/>
    <d v="2022-10-06T00:00:00"/>
    <n v="125978"/>
    <n v="22676.04"/>
    <x v="4"/>
    <m/>
    <s v="UK17CA1878"/>
    <n v="18"/>
  </r>
  <r>
    <s v="391505176465"/>
    <s v="05ANTPS9188H1Z0 / G K PHARMA"/>
    <s v="05AAECM6380J1ZA / MR HEALTHCARE PVT LTD"/>
    <s v="ROORKEE / 247667"/>
    <s v="Ramnagar / 244715"/>
    <s v="391505176465 - 04/10/2022 00:01:00"/>
    <s v="GKUK/0934/22-23"/>
    <d v="2022-10-03T00:00:00"/>
    <n v="310600"/>
    <n v="55908"/>
    <x v="1"/>
    <m/>
    <s v="UK18TA0659"/>
    <n v="18"/>
  </r>
  <r>
    <s v="341504692785"/>
    <s v="06AARFV8827D1ZP / VAISHNO PRINT PACKAGING"/>
    <s v="05AAECM6380J1ZA / M/S M R HealthCare Pvt. Ltd."/>
    <s v="Jhajjar / 124507"/>
    <s v="Ramnagar / 244715"/>
    <s v="341504692785 - 01/10/2022 21:59:00"/>
    <s v="2022-23/0269"/>
    <d v="2022-10-01T00:00:00"/>
    <n v="68412.2"/>
    <n v="12314.2"/>
    <x v="47"/>
    <s v="Printed Aluminium foil"/>
    <s v="UK18CA4773"/>
    <n v="18.000005846910348"/>
  </r>
  <r>
    <s v="311504561303"/>
    <s v="05ADVFS5795G1Z9 / Shri Krishna Polymer"/>
    <s v="05AAECM6380J1ZA / M,R HEALTHCARE PVT LTD"/>
    <s v="ROORKEE / 247667"/>
    <s v="KASHIPUR / 244715"/>
    <s v="311504561303 - 01/10/2022 16:32:00"/>
    <n v="802"/>
    <d v="2022-10-01T00:00:00"/>
    <n v="80117.95"/>
    <n v="14421.24"/>
    <x v="6"/>
    <s v="METTALISED PVC GOLDEN"/>
    <s v="UK17CA4284"/>
    <n v="18.0000112334377"/>
  </r>
  <r>
    <s v="321504360477"/>
    <s v="05ABNFA2675D1ZK / AURA PACKAGING"/>
    <s v="05AAECM6380J1ZA / M/S M R HealthCare Pvt. Ltd."/>
    <s v="Udham Singh Nagar / 263153"/>
    <s v="Ramnagar / 244715"/>
    <s v="321504360477 - 01/10/2022 11:16:00"/>
    <s v="AP/2022-23/00437"/>
    <d v="2022-10-01T00:00:00"/>
    <n v="52857.05"/>
    <n v="9514.26"/>
    <x v="23"/>
    <m/>
    <s v="UK06CB7086"/>
    <n v="17.999982972943059"/>
  </r>
  <r>
    <s v="381504029927"/>
    <s v="05AAJFB5728K1ZA / Blize Printers 2022-23"/>
    <s v="05AAECM6380J1ZA / M.R. HEALTHCARE PVT. LTD."/>
    <s v="BHAGWANPUR / 247661"/>
    <s v="Ramnagar / 244715"/>
    <s v="381504029927 - 01/10/2022 00:53:00"/>
    <s v="BP/22-23/2100"/>
    <d v="2022-09-29T00:00:00"/>
    <n v="69308.600000000006"/>
    <n v="12475.56"/>
    <x v="8"/>
    <s v="Carton"/>
    <s v="UK18CA4767"/>
    <n v="18.000017313868696"/>
  </r>
  <r>
    <s v="371506531807"/>
    <s v="05ACPFS1430H1Z7 / M/S SWASTIK ART CREATIONS"/>
    <s v="05AAECM6380J1ZA / M/S M R HealthCare Pvt. Ltd."/>
    <s v="Haridwar / 247667"/>
    <s v="Ramnagar / 244715"/>
    <s v="371506531807 - 06/10/2022 23:47:00"/>
    <s v="S/0897/22-23"/>
    <d v="2022-10-06T00:00:00"/>
    <n v="141872.75"/>
    <n v="25537.1"/>
    <x v="4"/>
    <s v="CARTONS"/>
    <s v="UK17CA1878"/>
    <n v="18.000003524284967"/>
  </r>
  <r>
    <s v="341506254877"/>
    <s v="05FYDPS0716P2ZZ / Pharma Pack"/>
    <s v="05AAECM6380J1ZA / M.R. Healthcare Pvt Ltd"/>
    <s v="/ 247661"/>
    <s v="KASHIPUR / 244714"/>
    <s v="341506254877 - 06/10/2022 23:47:00"/>
    <s v="PP/252"/>
    <d v="2022-10-06T00:00:00"/>
    <n v="110589"/>
    <n v="19906.02"/>
    <x v="14"/>
    <s v="Aluminium Printing Foil"/>
    <s v="UK17CA1878"/>
    <n v="18"/>
  </r>
  <r>
    <s v="341506405756"/>
    <s v="05CHTPG1810J1ZD / VAIBHAV LAXMI ENTERPRISES"/>
    <s v="05AAECM6380J1ZA / M/S M R HealthCare Pvt. Ltd."/>
    <s v="Udham Singh Nagar / 244713"/>
    <s v="Ramnagar / 244715"/>
    <s v="341506405756 - 06/10/2022 15:23:00"/>
    <n v="161"/>
    <d v="2022-10-06T00:00:00"/>
    <n v="45898"/>
    <n v="8261.64"/>
    <x v="23"/>
    <m/>
    <s v="UP27T8797"/>
    <n v="18"/>
  </r>
  <r>
    <s v="331505687282"/>
    <s v="05AABCA8568R1ZZ / ABS Mercantiles Pvt. Ltd."/>
    <s v="05AAECM6380J1ZA / M.R. HEALTHCARE PVT. LTD."/>
    <s v="UTTARAKHAND / 247667"/>
    <s v="Ram Nagar / 244715"/>
    <s v="331505687282 - 04/10/2022 22:52:00"/>
    <s v="ABSR/22-23/0461"/>
    <d v="2022-10-04T00:00:00"/>
    <n v="232500"/>
    <n v="41850"/>
    <x v="1"/>
    <s v="Itraconazole Pellets 40% -BP"/>
    <s v="UK17CA4322"/>
    <n v="18"/>
  </r>
  <r>
    <s v="321505688196"/>
    <s v="05AABCA8568R1ZZ / ABS Mercantiles Pvt. Ltd."/>
    <s v="05AAECM6380J1ZA / M.R. HEALTHCARE PVT. LTD."/>
    <s v="UTTARAKHAND / 247667"/>
    <s v="Ram Nagar / 244715"/>
    <s v="321505688196 - 04/10/2022 22:52:00"/>
    <s v="ABSR/22-23/0462"/>
    <d v="2022-10-04T00:00:00"/>
    <n v="690000"/>
    <n v="124200"/>
    <x v="1"/>
    <s v="Itraconazole Pellets 40% -BP"/>
    <s v="UK18CA5709"/>
    <n v="18"/>
  </r>
  <r>
    <s v="301504618099"/>
    <s v="05AAJFB5728K1ZA / Blize Printers (2022-23)"/>
    <s v="05AAECM6380J1ZA / M.R. HEALTHCARE PVT. LTD."/>
    <s v="BHAGWANPUR / 247661"/>
    <s v="Ramnagar / 244715"/>
    <s v="301504618099 - 01/10/2022 22:25:00"/>
    <s v="BP/22-23/2131"/>
    <d v="2022-10-01T00:00:00"/>
    <n v="185645"/>
    <n v="31680.6"/>
    <x v="8"/>
    <s v="Carton"/>
    <s v="UK17CA4284"/>
    <n v="17.065151229497157"/>
  </r>
  <r>
    <s v="341504453632"/>
    <s v="05ALGPC9789H1ZQ / OM PHARMACEUTICALS"/>
    <s v="05AAECM6380J1ZA / M/S M R HealthCare Pvt. Ltd."/>
    <s v="Haridwar / 249402"/>
    <s v="Ramnagar / 244715"/>
    <s v="341504453632 - 01/10/2022 19:45:00"/>
    <s v="OP/00240/2022-23"/>
    <d v="2022-10-01T00:00:00"/>
    <n v="70000"/>
    <n v="12600"/>
    <x v="49"/>
    <s v="CROSS CARMELOSE SODIUM BP USP"/>
    <s v="UK17CA4284"/>
    <n v="18"/>
  </r>
  <r>
    <s v="321516211949"/>
    <s v="05AASFR5565R1Z4 / M/S ROORKEE FOIL"/>
    <s v="05AAECM6380J1ZA / M/S M R HealthCare Pvt. Ltd."/>
    <s v="Haridwar / 247667"/>
    <s v="Ramnagar / 244715"/>
    <s v="321516211949 - 30/10/2022 00:12:00"/>
    <s v="RK/22-23/1612"/>
    <d v="2022-10-29T00:00:00"/>
    <n v="49827.35"/>
    <n v="8968.92"/>
    <x v="20"/>
    <s v="BLISTER FOIL PRINTED"/>
    <s v="UK18TA0659"/>
    <n v="17.999993979210213"/>
  </r>
  <r>
    <s v="321515220016"/>
    <s v="05ALGPC9789H1ZQ / OM PHARMACEUTICALS"/>
    <s v="05AAECM6380J1ZA / M/S M R HealthCare Pvt. Ltd."/>
    <s v="Haridwar / 249402"/>
    <s v="Ramnagar / 244715"/>
    <s v="321515220016 - 27/10/2022 19:44:00"/>
    <s v="OP/00260/2022-23"/>
    <d v="2022-10-27T00:00:00"/>
    <n v="56250"/>
    <n v="10125"/>
    <x v="110"/>
    <s v="METHYLENE CHLORIDE"/>
    <s v="UK17CA4642"/>
    <n v="18"/>
  </r>
  <r>
    <s v="371514766350"/>
    <s v="05AAIFV2202M1Z8 / Vimal Steel"/>
    <s v="05AAECM6380J1ZA / M.R.Health Care P Ltd"/>
    <s v="Ramnagar / 244715"/>
    <s v="Ramnagar / 244715"/>
    <s v="371514766350 - 24/10/2022 12:16:00"/>
    <n v="7362"/>
    <d v="2022-10-24T00:00:00"/>
    <n v="442968.62"/>
    <n v="79734.34"/>
    <x v="111"/>
    <s v="G.C.Sheet"/>
    <s v="UK04CB5290"/>
    <n v="17.999997381304347"/>
  </r>
  <r>
    <s v="311513197483"/>
    <s v="05AABCA8568R1ZZ / ABS Mercantiles Pvt. Ltd."/>
    <s v="05AAECM6380J1ZA / M.R. HEALTHCARE PVT. LTD."/>
    <s v="UTTARAKHAND / 247667"/>
    <s v="Ram Nagar / 244715"/>
    <s v="311513197483 - 20/10/2022 23:07:00"/>
    <s v="ABSR/22-23/0514"/>
    <d v="2022-10-20T00:00:00"/>
    <n v="2280000"/>
    <n v="410400"/>
    <x v="33"/>
    <s v="CEFIXIME T.H. COMPACTED IP"/>
    <s v="UK18CA3698"/>
    <n v="18"/>
  </r>
  <r>
    <s v="301513450651"/>
    <s v="05AAACY8180G1Z7 / YURVIE PACKAGING PRIVATE LIMITED"/>
    <s v="05AAECM6380J1ZA / M/S M R HealthCare Pvt. Ltd."/>
    <s v="Haridwar / 247661"/>
    <s v="Ramnagar / 244715"/>
    <s v="301513450651 - 20/10/2022 23:07:00"/>
    <s v="Y/22-23/0891"/>
    <d v="2022-10-20T00:00:00"/>
    <n v="43987.56"/>
    <n v="7917.76"/>
    <x v="9"/>
    <s v="LAMI TUBE"/>
    <s v="UK18CA3698"/>
    <n v="17.999998181303987"/>
  </r>
  <r>
    <s v="321513396195"/>
    <s v="05AAJFB5728K1ZA / Blize Printers (2022-23)"/>
    <s v="05AAECM6380J1ZA / M.R. HEALTHCARE PVT. LTD."/>
    <s v="BHAGWANPUR / 247661"/>
    <s v="Ramnagar / 244715"/>
    <s v="321513396195 - 20/10/2022 23:07:00"/>
    <s v="BP/22-23/2340"/>
    <d v="2022-10-20T00:00:00"/>
    <n v="93985.600000000006"/>
    <n v="15747.4"/>
    <x v="8"/>
    <s v="Carton"/>
    <s v="UK18CA3698"/>
    <n v="16.755119933266371"/>
  </r>
  <r>
    <s v="331513458836"/>
    <s v="05AAQCS5989R1ZZ / M/S SATYAM SHIVAM PACKAGING PRIVATE LIMITED"/>
    <s v="05AAECM6380J1ZA / M/S M R HealthCare Pvt. Ltd."/>
    <s v="Udham Singh Nagar / 263153"/>
    <s v="Ramnagar / 244715"/>
    <s v="331513458836 - 20/10/2022 18:37:00"/>
    <s v="SSP/22-23/1122"/>
    <d v="2022-10-20T00:00:00"/>
    <n v="59850"/>
    <n v="10773"/>
    <x v="18"/>
    <s v="250X220X230(5 PLY C BOX)"/>
    <s v="UK06CA7002"/>
    <n v="18"/>
  </r>
  <r>
    <s v="381512836434"/>
    <s v="05ACPFS1430H1Z7 / M/S SWASTIK ART CREATIONS"/>
    <s v="05AAECM6380J1ZA / M/S M R HealthCare Pvt. Ltd."/>
    <s v="Haridwar / 247667"/>
    <s v="Ramnagar / 244715"/>
    <s v="381512836434 - 19/10/2022 23:46:00"/>
    <s v="S/0939/22-23"/>
    <d v="2022-10-19T00:00:00"/>
    <n v="49136.5"/>
    <n v="8844.56"/>
    <x v="4"/>
    <s v="CARTONS"/>
    <s v="UK18TA0659"/>
    <n v="17.999979648530115"/>
  </r>
  <r>
    <s v="311512123041"/>
    <s v="05ABNFA2675D1ZK / AURA PACKAGING"/>
    <s v="05AAECM6380J1ZA / M/S M R HealthCare Pvt. Ltd."/>
    <s v="Udham Singh Nagar / 263153"/>
    <s v="Ramnagar / 244715"/>
    <s v="311512123041 - 18/10/2022 14:54:00"/>
    <s v="AP/2022-23/00480"/>
    <d v="2022-10-18T00:00:00"/>
    <n v="48653.3"/>
    <n v="8757.6"/>
    <x v="23"/>
    <m/>
    <s v="UK06CB7086"/>
    <n v="18.000012332154242"/>
  </r>
  <r>
    <s v="311510813326"/>
    <s v="02AAGCE0933K1ZX / ENROBAGE INDIA PRIVATE LIMITED"/>
    <s v="05AAECM6380J1ZA / M/S M R HealthCare Pvt. Ltd."/>
    <s v="Sirmaur / 173030"/>
    <s v="Ramnagar / 244715"/>
    <s v="311510813326 - 17/10/2022 23:17:00"/>
    <s v="EIPL-507"/>
    <d v="2022-10-15T00:00:00"/>
    <n v="60120"/>
    <n v="10821.6"/>
    <x v="46"/>
    <s v="PHARMA RAW MATRIAL"/>
    <s v="UK18TA0659"/>
    <n v="18"/>
  </r>
  <r>
    <s v="351511617042"/>
    <s v="05ADVFS5795G1Z9 / Shri Krishna Polymer"/>
    <s v="05AAECM6380J1ZA / M,R HEALTHCARE PVT LTD"/>
    <s v="ROORKEE / 247667"/>
    <s v="Ramnagar / 244715"/>
    <s v="351511617042 - 17/10/2022 16:03:00"/>
    <n v="865"/>
    <d v="2022-10-17T00:00:00"/>
    <n v="58719"/>
    <n v="10569.42"/>
    <x v="6"/>
    <s v="METTALISED PVC SILVER"/>
    <s v="UK18CA5709"/>
    <n v="18"/>
  </r>
  <r>
    <s v="341510955445"/>
    <s v="05AAHFI1252P1Z8 / IATRIC BIO SCIENCES LLP."/>
    <s v="05AAECM6380J1ZA / M.R.HEALTHCARE PVT. LTD."/>
    <s v="ROORKEE / 247667"/>
    <s v="Nainital / 244715"/>
    <s v="341510955445 - 16/10/2022 00:04:00"/>
    <s v="IBS/22-23/05303"/>
    <d v="2022-10-15T00:00:00"/>
    <n v="38019"/>
    <n v="6843.42"/>
    <x v="73"/>
    <s v="VITAMIN D3 500000 IU/G (29362940)(FERMENTA)"/>
    <s v="UK17CA4303"/>
    <n v="18"/>
  </r>
  <r>
    <s v="311510774205"/>
    <s v="05AAJFB5728K1ZA / Blize Printers (2022-23)"/>
    <s v="05AAECM6380J1ZA / M.R. HEALTHCARE PVT. LTD."/>
    <s v="BHAGWANPUR / 247661"/>
    <s v="Ramnagar / 244715"/>
    <s v="311510774205 - 16/10/2022 00:04:00"/>
    <s v="BP/22-23/2280"/>
    <d v="2022-10-15T00:00:00"/>
    <n v="51803.7"/>
    <n v="9324.68"/>
    <x v="8"/>
    <s v="Carton"/>
    <s v="UK18TA0659"/>
    <n v="18.000027025096664"/>
  </r>
  <r>
    <s v="361510303017"/>
    <s v="06AARFV8827D1ZP / VAISHNO PRINT PACKAGING"/>
    <s v="05AAECM6380J1ZA / M/S M R HealthCare Pvt. Ltd."/>
    <s v="Jhajjar / 124507"/>
    <s v="Ramnagar / 244715"/>
    <s v="361510303017 - 15/10/2022 23:39:00"/>
    <s v="2022-23/0287"/>
    <d v="2022-10-14T00:00:00"/>
    <n v="195090.6"/>
    <n v="35116.31"/>
    <x v="47"/>
    <s v="ALUMINIUM FOIL"/>
    <s v="UK06CB5759"/>
    <n v="18.000001025164718"/>
  </r>
  <r>
    <s v="391510937831"/>
    <s v="05AGOPJ9814D1ZC / Vatsalya Trading Corporation - FY 22-23"/>
    <s v="05AAECM6380J1ZA / M.R.Healthcare Pvt Ltd"/>
    <s v="Dehradun / 248001"/>
    <s v="Ramnagar / 247415"/>
    <s v="391510937831 - 15/10/2022 19:15:00"/>
    <s v="VTC/22-23/688"/>
    <d v="2022-10-15T00:00:00"/>
    <n v="49260"/>
    <n v="8866.7999999999993"/>
    <x v="96"/>
    <s v="Acetonitrile HPLC 2.5 Ltr"/>
    <s v="UK04CB5612"/>
    <n v="17.999999999999996"/>
  </r>
  <r>
    <s v="311509864012"/>
    <s v="05AASFR5565R1Z4 / M/S ROORKEE FOIL"/>
    <s v="05AAECM6380J1ZA / M/S M R HealthCare Pvt. Ltd."/>
    <s v="Haridwar / 247667"/>
    <s v="Ramnagar / 244715"/>
    <s v="311509864012 - 14/10/2022 23:07:00"/>
    <s v="RK/22-23/1506"/>
    <d v="2022-10-13T00:00:00"/>
    <n v="55815.43"/>
    <n v="10046.780000000001"/>
    <x v="20"/>
    <s v="BLISTER FOIL PRINTED"/>
    <s v="UK18CA3698"/>
    <n v="18.000004658210106"/>
  </r>
  <r>
    <s v="331510085202"/>
    <s v="05AAJFB5728K1ZA / Blize Printers (2022-23)"/>
    <s v="05AAECM6380J1ZA / M.R. HEALTHCARE PVT. LTD."/>
    <s v="BHAGWANPUR / 247661"/>
    <s v="Ramnagar / 244715"/>
    <s v="331510085202 - 14/10/2022 23:07:00"/>
    <s v="BP/22-23/2252"/>
    <d v="2022-10-13T00:00:00"/>
    <n v="55962.8"/>
    <n v="10073.299999999999"/>
    <x v="8"/>
    <s v="Carton"/>
    <s v="UK18CA3698"/>
    <n v="17.999992852394801"/>
  </r>
  <r>
    <s v="381509357740"/>
    <s v="05AABCA8568R1ZZ / ABS Mercantiles Pvt. Ltd."/>
    <s v="05AAECM6380J1ZA / M.R. HEALTHCARE PVT. LTD."/>
    <s v="UTTARAKHAND / 247667"/>
    <s v="Ram Nagar / 244715"/>
    <s v="381509357740 - 12/10/2022 23:51:00"/>
    <s v="ABSR/22-23/0497"/>
    <d v="2022-10-12T00:00:00"/>
    <n v="460000"/>
    <n v="82800"/>
    <x v="1"/>
    <s v="Itraconazole Pellets 40% -BP"/>
    <s v="UK17CA4358"/>
    <n v="18"/>
  </r>
  <r>
    <s v="391509205132"/>
    <s v="05AAJFB5728K1ZA / Blize Printers (2022-23)"/>
    <s v="05AAECM6380J1ZA / M.R. HEALTHCARE PVT. LTD."/>
    <s v="BHAGWANPUR / 247661"/>
    <s v="Ramnagar / 244715"/>
    <s v="391509205132 - 12/10/2022 23:51:00"/>
    <s v="BP/22-23/2243"/>
    <d v="2022-10-12T00:00:00"/>
    <n v="81675"/>
    <n v="14701.5"/>
    <x v="8"/>
    <s v="Carton"/>
    <s v="UK17CA4358"/>
    <n v="18"/>
  </r>
  <r>
    <s v="351508706861"/>
    <s v="06AARFV8827D1ZP / VAISHNO PRINT PACKAGING"/>
    <s v="05AAECM6380J1ZA / M/S M R HealthCare Pvt. Ltd."/>
    <s v="Jhajjar / 124507"/>
    <s v="Ramnagar / 244715"/>
    <s v="351508706861 - 12/10/2022 21:33:00"/>
    <s v="2022-23/0280"/>
    <d v="2022-10-11T00:00:00"/>
    <n v="42430.15"/>
    <n v="7637.43"/>
    <x v="47"/>
    <s v="PRINTED ALUMINIUM FOIL"/>
    <s v="UK18CA4773"/>
    <n v="18.00000707044401"/>
  </r>
  <r>
    <s v="371508304166"/>
    <s v="06AYEPS2518M1Z4 / FORTUNE SOURCING"/>
    <s v="05AAECM6380J1ZA / M/S M R HealthCare Pvt. Ltd."/>
    <s v="Gurugram / 122001"/>
    <s v="Ramnagar / 244715"/>
    <s v="371508304166 - 12/10/2022 20:58:00"/>
    <s v="FS/0191/2022-23"/>
    <d v="2022-10-10T00:00:00"/>
    <n v="20750.7"/>
    <n v="3735.13"/>
    <x v="10"/>
    <s v="LAMI TUBE"/>
    <s v="UK06CA4820"/>
    <n v="18.000019276458143"/>
  </r>
  <r>
    <s v="301509432069"/>
    <s v="05ADVFS5795G1Z9 / Shri Krishna Polymer"/>
    <s v="05AAECM6380J1ZA / M,R HEALTHCARE PVT LTD"/>
    <s v="ROORKEE / 247667"/>
    <s v="KAASHIPUR / 244715"/>
    <s v="301509432069 - 12/10/2022 19:05:00"/>
    <n v="843"/>
    <d v="2022-10-12T00:00:00"/>
    <n v="70688.5"/>
    <n v="12723.94"/>
    <x v="6"/>
    <s v="METTALISED PVC SILVER"/>
    <s v="UK17CA4358"/>
    <n v="18.000014146572639"/>
  </r>
  <r>
    <s v="311509316373"/>
    <s v="03AABCS6468G1ZD / Nectar Lifesciences Limited"/>
    <s v="05AAECM6380J1ZA / M.R. HEALTHCARE PVT. LTD."/>
    <s v="Derabassi-(Punjab) / 140507"/>
    <s v="RAMNAGAR-(Uttarakhand) / 244715"/>
    <s v="311509316373 - 12/10/2022 16:46:00"/>
    <n v="2211134"/>
    <d v="2022-10-12T00:00:00"/>
    <n v="858750"/>
    <m/>
    <x v="33"/>
    <s v="CEFIXIME (TRIHYDRATE FORM) IP (COMP.)"/>
    <s v="UK12CB0926"/>
    <n v="0"/>
  </r>
  <r>
    <s v="331509116737"/>
    <s v="05AAGFH2542C1ZY / HIMALAYAN CAPSCON INDUSTRIES"/>
    <s v="05AAECM6380J1ZA / M R HEALTHCARE PVT LTD"/>
    <s v="Selaqui / 248011"/>
    <s v="Ramnagar / 244715"/>
    <s v="331509116737 - 12/10/2022 12:00:00"/>
    <s v="HCI/22-23/0342"/>
    <d v="2022-10-12T00:00:00"/>
    <n v="56250"/>
    <n v="10125"/>
    <x v="17"/>
    <s v="HDPE 60ml Dry Syrup Bottle (11.50Gm)"/>
    <s v="UK18CA4773"/>
    <n v="18"/>
  </r>
  <r>
    <s v="331508759629"/>
    <s v="05ANTPS9188H1Z0 / G K PHARMA"/>
    <s v="05AAECM6380J1ZA / MR HEALTHCARE PVT LTD"/>
    <s v="ROORKEE / 247667"/>
    <s v="Ramnagar / 244715"/>
    <s v="331508759629 - 11/10/2022 22:49:00"/>
    <s v="GKUK/0976/22-23"/>
    <d v="2022-10-11T00:00:00"/>
    <n v="34500"/>
    <n v="6210"/>
    <x v="5"/>
    <m/>
    <s v="UK18CA4303"/>
    <n v="18"/>
  </r>
  <r>
    <s v="301508760057"/>
    <s v="05ANTPS9188H1Z0 / G K PHARMA"/>
    <s v="05AAECM6380J1ZA / MR HEALTHCARE PVT LTD"/>
    <s v="ROORKEE / 247667"/>
    <s v="Ramnagar / 244715"/>
    <s v="301508760057 - 11/10/2022 22:49:00"/>
    <s v="GKUK/0977/22-23"/>
    <d v="2022-10-11T00:00:00"/>
    <n v="227700"/>
    <n v="40986"/>
    <x v="1"/>
    <m/>
    <s v="UK18CA4303"/>
    <n v="18"/>
  </r>
  <r>
    <s v="351508268895"/>
    <s v="05AAJFB5728K1ZA / Blize Printers (2022-23)"/>
    <s v="05AAECM6380J1ZA / M.R. HEALTHCARE PVT. LTD."/>
    <s v="BHAGWANPUR / 247661"/>
    <s v="Ramnagar / 244715"/>
    <s v="351508268895 - 11/10/2022 01:35:00"/>
    <s v="BP/22-23/2223"/>
    <d v="2022-10-10T00:00:00"/>
    <n v="48709.48"/>
    <n v="8767.7199999999993"/>
    <x v="8"/>
    <s v="Carton"/>
    <s v="UK18CA5709"/>
    <n v="18.00002792064296"/>
  </r>
  <r>
    <s v="371508336114"/>
    <s v="05ACYFS8084Q1ZR / S.S. PRINT PACK"/>
    <s v="05AAECM6380J1ZA / M/S M R HealthCare Pvt. Ltd."/>
    <s v="Dehradun / 248011"/>
    <s v="Ramnagar / 244715"/>
    <s v="371508336114 - 10/10/2022 19:38:00"/>
    <n v="868"/>
    <d v="2022-10-10T00:00:00"/>
    <n v="8000"/>
    <n v="1440"/>
    <x v="13"/>
    <m/>
    <s v="UK18CA5709"/>
    <n v="18"/>
  </r>
  <r>
    <s v="301508340961"/>
    <s v="05ABEFS5359M1ZP / M/S S.S. Industries"/>
    <s v="05AAECM6380J1ZA / M/S M R HealthCare Pvt. Ltd."/>
    <s v="Dehradun / 248011"/>
    <s v="RAMNAGAR dist nanital / 244715"/>
    <s v="301508340961 - 10/10/2022 19:38:00"/>
    <n v="1428"/>
    <d v="2022-10-10T00:00:00"/>
    <n v="30582.5"/>
    <n v="5504.86"/>
    <x v="4"/>
    <m/>
    <s v="UK18CA5709"/>
    <n v="18.000032698438648"/>
  </r>
  <r>
    <s v="331507567247"/>
    <s v="05AASFR5565R1Z4 / M/S ROORKEE FOIL"/>
    <s v="05AAECM6380J1ZA / M/S M R HealthCare Pvt. Ltd."/>
    <s v="Haridwar / 247667"/>
    <s v="Ramnagar / 244715"/>
    <s v="331507567247 - 08/10/2022 22:58:00"/>
    <s v="RK/22-23/1452"/>
    <d v="2022-10-07T00:00:00"/>
    <n v="92781.45"/>
    <n v="16700.66"/>
    <x v="20"/>
    <s v="BLISTER FOIL PRINTED"/>
    <s v="UK17CA4322"/>
    <n v="17.999998922198351"/>
  </r>
  <r>
    <s v="391506962649"/>
    <s v="05AABCA8568R1ZZ / ABS Mercantiles Pvt. Ltd."/>
    <s v="05AAECM6380J1ZA / M.R. HEALTHCARE PVT. LTD."/>
    <s v="UTTARAKHAND / 247667"/>
    <s v="Ram Nagar / 244715"/>
    <s v="391506962649 - 08/10/2022 02:04:00"/>
    <s v="ABSR/22-23/0473"/>
    <d v="2022-10-07T00:00:00"/>
    <n v="1710000"/>
    <n v="307800"/>
    <x v="33"/>
    <s v="CEFIXIME T.H. COMPACTED IP"/>
    <s v="UK18CA5709"/>
    <n v="18"/>
  </r>
  <r>
    <s v="341507065801"/>
    <s v="05ABNPA6018N2ZK / Manish Pharma"/>
    <s v="05AAECM6380J1ZA / MR HEALTHCARE PVT LTD"/>
    <s v="ROORKEE / 247667"/>
    <s v="KOSI ROAD,RAMNAGAR / 244715"/>
    <s v="341507065801 - 08/10/2022 02:04:00"/>
    <s v="MPR/22-23/2739"/>
    <d v="2022-10-07T00:00:00"/>
    <n v="1100550"/>
    <n v="198099"/>
    <x v="33"/>
    <s v="CEFPODOXIME PROXETIL COMPACTED IP (AUROBINDO)"/>
    <s v="UK18CA5709"/>
    <n v="18"/>
  </r>
  <r>
    <s v="381507048833"/>
    <s v="05ABSFA7387F1Z0 / AASTHA MEDI SOLUTIONS"/>
    <s v="05AAECM6380J1ZA / M/S M R HealthCare Pvt. Ltd."/>
    <s v="Haridwar / 247667"/>
    <s v="Ramnagar / 244715"/>
    <s v="381507048833 - 07/10/2022 17:19:00"/>
    <n v="687"/>
    <d v="2022-10-07T00:00:00"/>
    <n v="52392.3"/>
    <n v="9430.6200000000008"/>
    <x v="14"/>
    <s v="PRINTED ALUMINUM FOIL"/>
    <s v="UK18CA5709"/>
    <n v="18.000011452064523"/>
  </r>
  <r>
    <s v="321515794061"/>
    <s v="05ABNPA6018N2ZK / Manish Pharma"/>
    <s v="05AAECM6380J1ZA / MR HEALTHCARE PVT LTD"/>
    <s v="ROORKEE / 247667"/>
    <s v="KOSI ROAD,RAMNAGAR / 244715"/>
    <s v="321515794061 - 28/10/2022 21:35:00"/>
    <s v="MPR/22-23/2990"/>
    <d v="2022-10-28T00:00:00"/>
    <n v="1520760"/>
    <n v="273736.8"/>
    <x v="32"/>
    <s v="AMOXYCILLIN TRIHYDRATE COMPACTED IP (DALAS)"/>
    <s v="UK17CA4642"/>
    <n v="18"/>
  </r>
  <r>
    <s v="301515006676"/>
    <s v="06AAACM6962E1ZJ / MAHIMA LIFE SCIENCES PRIVATE LIMITED"/>
    <s v="05AAECM6380J1ZA / M.R.Healthcare - Nainital"/>
    <s v="Sonipat / 131101"/>
    <s v="Nainital / 244715"/>
    <s v="301515006676 - 26/10/2022 16:12:00"/>
    <s v="2022-23/1850"/>
    <d v="2022-10-26T00:00:00"/>
    <n v="82290"/>
    <n v="14812.2"/>
    <x v="112"/>
    <s v="Clobetasol Propionate"/>
    <s v="UP14JT7811"/>
    <n v="18"/>
  </r>
  <r>
    <s v="391513957894"/>
    <s v="05AASFR5565R1Z4 / M/S ROORKEE FOIL"/>
    <s v="05AAECM6380J1ZA / M/S M R HealthCare Pvt. Ltd."/>
    <s v="Haridwar / 247667"/>
    <s v="Ramnagar / 244715"/>
    <s v="391513957894 - 21/10/2022 17:32:00"/>
    <s v="RK/22-23/1572"/>
    <d v="2022-10-21T00:00:00"/>
    <n v="52424.05"/>
    <n v="9436.32"/>
    <x v="20"/>
    <s v="BLISTER FOIL PRINTED"/>
    <s v="UK18CA4767"/>
    <n v="17.999982832306927"/>
  </r>
  <r>
    <s v="471286238355"/>
    <s v="09AVWPT8411D1Z0 / MEDZY PHARMACEUTICAL"/>
    <s v="05AAECM6380J1ZA / M/S M R HealthCare Pvt. Ltd."/>
    <s v="RUDRAPUR / 263153"/>
    <s v="Ramnagar / 244715"/>
    <s v="471286238355 - 19/10/2022 17:52:00"/>
    <n v="46"/>
    <d v="2022-10-19T00:00:00"/>
    <n v="267450"/>
    <n v="48141"/>
    <x v="1"/>
    <m/>
    <s v="UK06CB3599"/>
    <n v="18"/>
  </r>
  <r>
    <s v="481288537448"/>
    <s v="09ABPFA7359E1Z1 / AMBIENCE COOLING CORPORATION LLP"/>
    <s v="05AAECM6380J1ZA / M/S M R HealthCare Pvt. Ltd."/>
    <s v="Bareilly / 243122"/>
    <s v="Ramnagar / 244715"/>
    <s v="481288537448 - 31/10/2022 17:49:00"/>
    <n v="105"/>
    <d v="2022-10-31T00:00:00"/>
    <n v="79004.240000000005"/>
    <n v="14220.76"/>
    <x v="113"/>
    <m/>
    <s v="UP25CT0389"/>
    <n v="17.999995949584477"/>
  </r>
  <r>
    <s v="681481244749"/>
    <s v="26AAACA3345D1Z8 / Amisha Vinyls Pvt. Ltd."/>
    <s v="05AAECM6380J1ZA / M.R.HEALTHCARE PVT.LTD."/>
    <s v="Daman / 396210"/>
    <s v="Nainital / 244715"/>
    <s v="681481244749 - 28/10/2022 14:23:00"/>
    <n v="2850"/>
    <d v="2022-10-28T00:00:00"/>
    <n v="258019.1"/>
    <m/>
    <x v="12"/>
    <s v="Pharma grade - 01 - Dark Amber Colour - 0.25mm Thick - 208mm Width - Paper Core 9 - BOX - WL"/>
    <s v="UP21CT7843"/>
    <n v="0"/>
  </r>
  <r>
    <s v="661480051256"/>
    <s v="24AABCP1993P1ZX / Pure Chem Private Limited"/>
    <s v="05AAECM6380J1ZA / M.R.Healthcare Pvt.Ltd."/>
    <s v="Ankleshwar / 393002"/>
    <s v="Nainital / 244715"/>
    <s v="661480051256 - 21/10/2022 19:12:00"/>
    <s v="PCPL/371/22-23"/>
    <d v="2022-10-21T00:00:00"/>
    <n v="703800"/>
    <n v="126684"/>
    <x v="71"/>
    <s v="Febantel IP"/>
    <s v="UK18TA0659"/>
    <n v="18"/>
  </r>
  <r>
    <s v="651477946186"/>
    <s v="24AACFK3554D1ZR / KUMAR INDUSTRIES"/>
    <s v="05AAECM6380J1ZA / M R HEALTHCARE PVT LTD"/>
    <s v="AHMEDABAD / 382330"/>
    <s v="UTTARAKHAND / 244715"/>
    <s v="651477946186 - 20/10/2022 01:01:00"/>
    <s v="KI/485/2022"/>
    <d v="2022-10-17T00:00:00"/>
    <n v="332250"/>
    <n v="59805"/>
    <x v="28"/>
    <s v="MEFENAMIC ACID IP"/>
    <s v="UK18CA4767"/>
    <n v="18"/>
  </r>
  <r>
    <s v="621477293278"/>
    <s v="24AAECN0459R1Z1 / NPM MACHINERY PVT.LTD."/>
    <s v="05AAECM6380J1ZA / M/S M R HealthCare Pvt. Ltd."/>
    <s v="Ahmedabad / 382213"/>
    <s v="Ramnagar / 244715"/>
    <s v="621477293278 - 15/10/2022 21:41:00"/>
    <s v="318/22-23"/>
    <d v="2022-10-15T00:00:00"/>
    <n v="2700"/>
    <n v="486"/>
    <x v="114"/>
    <s v="BLACK INK FOR PAD PRINTING DEVICE"/>
    <s v="DL01LAC2874"/>
    <n v="18"/>
  </r>
  <r>
    <s v="601472471310"/>
    <s v="24AAECS0804K1ZL / SURMOUNT LABORATORIES PVT LTD"/>
    <s v="05AAECM6380J1ZA / M/S M R HealthCare Pvt. Ltd."/>
    <s v="Bharuch / 393002"/>
    <s v="DIST NAINITAL UTTARAKHAND / 244715"/>
    <s v="601472471310 - 04/10/2022 21:08:00"/>
    <n v="74"/>
    <d v="2022-10-04T00:00:00"/>
    <n v="70500"/>
    <n v="12690"/>
    <x v="115"/>
    <s v="RANITIDINE HCL IP"/>
    <s v="UK18CA6153"/>
    <n v="18"/>
  </r>
  <r>
    <s v="671470837320"/>
    <s v="24AAQFR9860F1ZP / REINE LIFESCIENCE"/>
    <s v="05AAECM6380J1ZA / M/S M R HealthCare Pvt. Ltd."/>
    <s v="Bharuch / 393002"/>
    <s v="RAMNAGAR / 244715"/>
    <s v="671470837320 - 05/10/2022 12:18:00"/>
    <s v="RLS/1069/22-23"/>
    <d v="2022-09-30T00:00:00"/>
    <n v="89500"/>
    <n v="16110"/>
    <x v="1"/>
    <s v="Pharma Product"/>
    <s v="UK18CA4303"/>
    <n v="18"/>
  </r>
  <r>
    <s v="681471559723"/>
    <s v="26AAACA3345D1Z8 / Amisha Vinyls Pvt. Ltd."/>
    <s v="05AAECM6380J1ZA / M.R.HEALTHCARE PVT.LTD."/>
    <s v="Daman / 396210"/>
    <s v="NAINITAL / 244715"/>
    <s v="681471559723 - 01/10/2022 18:08:00"/>
    <n v="2554"/>
    <d v="2022-10-01T00:00:00"/>
    <n v="175814.7"/>
    <m/>
    <x v="12"/>
    <s v="Pharma grade - 01 - Blue Tone - 0.25mm Thick - 184mm Width - Paper Core 9 - BOX - WL"/>
    <s v="DL01LX7534"/>
    <n v="0"/>
  </r>
  <r>
    <s v="771294380223"/>
    <s v="07BJKPS7609R1Z5 / TANZEN TRADING CO."/>
    <s v="05AAECM6380J1ZA / M/S M R HealthCare Pvt. Ltd."/>
    <s v="West Delhi / 110018"/>
    <s v="nanital Uttarakhand / 244715"/>
    <s v="771294380223 - 28/10/2022 13:11:00"/>
    <s v="TTC/509/22-23"/>
    <d v="2022-10-28T00:00:00"/>
    <n v="96178"/>
    <n v="15581.74"/>
    <x v="4"/>
    <s v="Packing Material"/>
    <s v="HR69D8385"/>
    <n v="16.20093992389112"/>
  </r>
  <r>
    <s v="721293908500"/>
    <s v="07ASZPG6153D1ZH / GUNINA PRINT PACK"/>
    <s v="05AAECM6380J1ZA / MR HEALTHCARE PVT LTD"/>
    <s v="Delhi / 110095"/>
    <s v="RAMNAGER / 244715"/>
    <s v="721293908500 - 22/10/2022 21:52:00"/>
    <n v="405"/>
    <d v="2022-10-22T00:00:00"/>
    <n v="87033.9"/>
    <n v="15666.1"/>
    <x v="20"/>
    <m/>
    <s v="UK18CA6361"/>
    <n v="17.999997702044837"/>
  </r>
  <r>
    <s v="751291966947"/>
    <s v="07AAHCP4772A1ZJ / Parkleton Private Limited"/>
    <s v="05AAECM6380J1ZA / M.R. Healthcare Pvt Ltd"/>
    <s v="Delhi / 110085"/>
    <s v="Uttarakhand / 244715"/>
    <s v="751291966947 - 15/10/2022 23:39:00"/>
    <s v="PPL/2022-23/2849"/>
    <d v="2022-10-15T00:00:00"/>
    <n v="570000"/>
    <n v="102600"/>
    <x v="33"/>
    <s v="Cefixime Trihydrate Compacted IP (29419090)"/>
    <s v="UK06CB5759"/>
    <n v="18"/>
  </r>
  <r>
    <s v="791291246403"/>
    <s v="07AAACR6057R1ZR / ROHAN PHARMA PVT LTD"/>
    <s v="05AAECM6380J1ZA / MRHEALTHCARE PVT LTD"/>
    <s v="DELHI / 110039"/>
    <s v="RAM NAGAR / 244715"/>
    <s v="791291246403 - 12/10/2022 21:33:00"/>
    <s v="RPPL/2807/22-23"/>
    <d v="2022-10-12T00:00:00"/>
    <n v="39375"/>
    <n v="7087.5"/>
    <x v="5"/>
    <m/>
    <s v="UK18CA4773"/>
    <n v="18"/>
  </r>
  <r>
    <s v="741290697524"/>
    <s v="07AAACR6057R1ZR / ROHAN PHARMA PVT LTD"/>
    <s v="05AAECM6380J1ZA / MRHEALTHCARE PVT LTD"/>
    <s v="DELHI / 110039"/>
    <s v="RAM NAGAR / 244715"/>
    <s v="741290697524 - 10/10/2022 21:47:00"/>
    <s v="RPPL/2767/22-23"/>
    <d v="2022-10-10T00:00:00"/>
    <n v="57500"/>
    <n v="10350"/>
    <x v="5"/>
    <m/>
    <s v="UK18CA5709"/>
    <n v="18"/>
  </r>
  <r>
    <s v="761288884204"/>
    <s v="07ASZPG6153D1ZH / GUNINA PRINT PACK"/>
    <s v="05AAECM6380J1ZA / MR HEALTHCARE PVT LTD"/>
    <s v="Delhi / 110095"/>
    <s v="RAMNAGER / 244715"/>
    <s v="761288884204 - 01/10/2022 21:45:00"/>
    <n v="352"/>
    <d v="2022-09-30T00:00:00"/>
    <n v="48942.400000000001"/>
    <n v="8809.6299999999992"/>
    <x v="20"/>
    <m/>
    <s v="UK18CA4773"/>
    <n v="17.999995913563698"/>
  </r>
  <r>
    <s v="771294245050"/>
    <s v="07ABWPB1401F1Z3 / BHARAT PHARMA"/>
    <s v="05AAECM6380J1ZA / MR HEALTHCARE PVT LTD"/>
    <s v="DELHI / 110042"/>
    <s v="UTTARAKHAND / 244715"/>
    <s v="771294245050 - 29/10/2022 21:37:00"/>
    <s v="BPG/22-23/1926"/>
    <d v="2022-10-27T00:00:00"/>
    <n v="1708353.75"/>
    <n v="307503.68"/>
    <x v="19"/>
    <s v="PARACETAMOL-IP(SARA)"/>
    <s v="UK18CA6361"/>
    <n v="18.000000292679427"/>
  </r>
  <r>
    <s v="751292952903"/>
    <s v="07AAGFL4546C1ZI / LAXMI PRINT N PACK"/>
    <s v="05AAECM6380J1ZA / M/S M R HealthCare Pvt. Ltd."/>
    <s v="New Delhi / 110028"/>
    <s v="RAMNAGAR / 244715"/>
    <s v="751292952903 - 20/10/2022 14:05:00"/>
    <s v="2022-2023/658"/>
    <d v="2022-10-19T00:00:00"/>
    <n v="155961"/>
    <n v="0"/>
    <x v="23"/>
    <s v="BOX"/>
    <s v="UK18CA4773"/>
    <n v="0"/>
  </r>
  <r>
    <s v="761292499643"/>
    <s v="08AACCA7721R1Z7 / ALKA LABORATORIES PVT LTD"/>
    <s v="05AAECM6380J1ZA / M R HEALTHCARE PVT LTD"/>
    <s v="BHIWADI / 301019"/>
    <s v="Ramnagar / 244715"/>
    <s v="761292499643 - 17/10/2022 17:09:00"/>
    <s v="ALPL22230739"/>
    <d v="2022-10-17T00:00:00"/>
    <n v="265000"/>
    <n v="47700"/>
    <x v="1"/>
    <m/>
    <s v="UK08CA9855"/>
    <n v="18"/>
  </r>
  <r>
    <s v="781289110120"/>
    <s v="07AAACR6057R1ZR / ROHAN PHARMA PVT LTD"/>
    <s v="05AAECM6380J1ZA / MRHEALTHCARE PVT LTD"/>
    <s v="DELHI / 110039"/>
    <s v="RAM NAGAR / 244715"/>
    <s v="781289110120 - 04/10/2022 21:35:00"/>
    <s v="RPPL/2657/22-23"/>
    <d v="2022-10-03T00:00:00"/>
    <n v="249375"/>
    <n v="44887.5"/>
    <x v="5"/>
    <m/>
    <s v="UK18CA5709"/>
    <n v="18"/>
  </r>
  <r>
    <s v="711289332950"/>
    <s v="07AWMPG2245H1ZL / RAINBOW PHARMA AGENCIES"/>
    <s v="05AAECM6380J1ZA / M.R.HEALTHCARE PVT. LTD. - Uttarakhand"/>
    <s v="J-2865, DSIIDC, Industrial Area, Narela, Delhi-110 / 110040"/>
    <s v="Uttrakhand / 244715"/>
    <s v="711289332950 - 04/10/2022 12:48:00"/>
    <s v="2022-23/0673"/>
    <d v="2022-10-04T00:00:00"/>
    <n v="154075"/>
    <n v="27733.5"/>
    <x v="19"/>
    <s v="Paracetamol IP"/>
    <s v="UK18CA6361"/>
    <n v="18"/>
  </r>
  <r>
    <s v="791291481174"/>
    <s v="07AAACR6057R1ZR / ROHAN PHARMA PVT LTD"/>
    <s v="05AAECM6380J1ZA / MRHEALTHCARE PVT LTD"/>
    <s v="DELHI / 110039"/>
    <s v="RAM NAGAR / 244715"/>
    <s v="791291481174 - 15/10/2022 23:39:00"/>
    <s v="RPPL/2813/22-23"/>
    <d v="2022-10-13T00:00:00"/>
    <n v="23000"/>
    <n v="4140"/>
    <x v="5"/>
    <m/>
    <s v="UK06CB5759"/>
    <n v="18"/>
  </r>
  <r>
    <s v="751289311498"/>
    <s v="07AWMPG2245H1ZL / RAINBOW PHARMA AGENCIES"/>
    <s v="05AAECM6380J1ZA / M.R.HEALTHCARE PVT. LTD. - Uttarakhand"/>
    <s v="J-2865, DSIIDC, Industrial Area, Narela, Delhi-110 / 110040"/>
    <s v="Uttrakhand / 244715"/>
    <s v="751289311498 - 04/10/2022 11:47:00"/>
    <s v="2022-23/0672"/>
    <d v="2022-10-04T00:00:00"/>
    <n v="1160600"/>
    <n v="208908"/>
    <x v="19"/>
    <s v="Paracetamol IP"/>
    <s v="UK18CA6361"/>
    <n v="18"/>
  </r>
  <r>
    <s v="701293524595"/>
    <s v="07AAACR6057R1ZR / ROHAN PHARMA PVT LTD"/>
    <s v="05AAECM6380J1ZA / MRHEALTHCARE PVT LTD"/>
    <s v="DELHI / 110039"/>
    <s v="RAM NAGAR / 244715"/>
    <s v="701293524595 - 22/10/2022 21:24:00"/>
    <s v="RPPL/2936/22-23"/>
    <d v="2022-10-21T00:00:00"/>
    <n v="135500"/>
    <n v="24390"/>
    <x v="5"/>
    <m/>
    <s v="UK18CA6361"/>
    <n v="18"/>
  </r>
  <r>
    <s v="701292940820"/>
    <s v="07AAHCP4772A1ZJ / Parkleton Private Limited"/>
    <s v="05AAECM6380J1ZA / M.R. Healthcare Pvt Ltd"/>
    <s v="Delhi / 110085"/>
    <s v="Uttarakhand / 244715"/>
    <s v="701292940820 - 20/10/2022 14:05:00"/>
    <s v="PPL/2022-23/2894"/>
    <d v="2022-10-19T00:00:00"/>
    <n v="570000"/>
    <n v="102600"/>
    <x v="33"/>
    <s v="Cefixime Trihydrate Compacted IP (29419090)"/>
    <s v="UK18CA4773"/>
    <n v="18"/>
  </r>
  <r>
    <s v="721292498622"/>
    <s v="08AACCA7721R1Z7 / ALKA LABORATORIES PVT LTD"/>
    <s v="05AAECM6380J1ZA / M R HEALTHCARE PVT LTD"/>
    <s v="BHIWADI / 301019"/>
    <s v="Ramnagar / 244715"/>
    <s v="721292498622 - 17/10/2022 17:07:00"/>
    <s v="ALPL22230738"/>
    <d v="2022-10-17T00:00:00"/>
    <n v="108750"/>
    <n v="19575"/>
    <x v="28"/>
    <m/>
    <s v="UP22AT5325"/>
    <n v="18"/>
  </r>
  <r>
    <s v="711291276985"/>
    <s v="07ASZPG6153D1ZH / GUNINA PRINT PACK"/>
    <s v="05AAECM6380J1ZA / MR HEALTHCARE PVT LTD"/>
    <s v="Delhi / 110095"/>
    <s v="RAMNAGER / 244715"/>
    <s v="711291276985 - 12/10/2022 21:15:00"/>
    <n v="375"/>
    <d v="2022-10-12T00:00:00"/>
    <n v="179965.9"/>
    <n v="32393.86"/>
    <x v="20"/>
    <m/>
    <s v="UK18CA4773"/>
    <n v="17.999998888678356"/>
  </r>
  <r>
    <s v="711289170491"/>
    <s v="07AAQFC6975N1ZH / CRETA PACKAGING"/>
    <s v="05AAECM6380J1ZA / M/S M R HealthCare Pvt. Ltd."/>
    <s v="North West Delhi / 110042"/>
    <s v="RAMNAGAR / 244715"/>
    <s v="711289170491 - 04/10/2022 21:35:00"/>
    <s v="22-23/83"/>
    <d v="2022-10-03T00:00:00"/>
    <n v="53540"/>
    <n v="9637.2000000000007"/>
    <x v="23"/>
    <m/>
    <s v="UK18CA6361"/>
    <n v="18.000000000000004"/>
  </r>
  <r>
    <s v="771298233192"/>
    <s v="07AAJFG9258K1ZS / GOYAL BROTHERS"/>
    <s v="05AAECM6380J1ZA / MRHEALTHCARE PVTLTD"/>
    <s v="VAPI / 396195"/>
    <s v="NANITAL / 244715"/>
    <s v="771298233192 - 16/11/2022 14:04:00"/>
    <s v="GB4050Y2022-23"/>
    <d v="2022-11-15T00:00:00"/>
    <n v="54000"/>
    <n v="9720"/>
    <x v="9"/>
    <s v="PLASTIC BASKETS"/>
    <s v="UK06CB6893"/>
    <n v="18"/>
  </r>
  <r>
    <s v="711298227030"/>
    <s v="07AAJFG9258K1ZS / GOYAL BROTHERS"/>
    <s v="05AAECM6380J1ZA / MRHEALTHCARE PVTLTD"/>
    <s v="VAPI / 396195"/>
    <s v="NANITAL / 244715"/>
    <s v="711298227030 - 16/11/2022 14:04:00"/>
    <s v="GB4049Y2022-23"/>
    <d v="2022-11-15T00:00:00"/>
    <n v="54000"/>
    <n v="9720"/>
    <x v="9"/>
    <s v="PLASTIC BASKETS"/>
    <s v="UK06CB6893"/>
    <n v="18"/>
  </r>
  <r>
    <s v="751297952333"/>
    <s v="07ABECS4075R1ZM / SAMCHEM INDIA PRIVATE LIMITED"/>
    <s v="05AAECM6380J1ZA / M/S M R HealthCare Pvt. Ltd."/>
    <s v="New Delhi / 110015"/>
    <s v="RAMNAGAR / 244715"/>
    <s v="751297952333 - 15/11/2022 01:14:00"/>
    <s v="SIPL/22-23/2134"/>
    <d v="2022-11-14T00:00:00"/>
    <n v="64939"/>
    <n v="3255.27"/>
    <x v="28"/>
    <s v="RAW MATERIAL"/>
    <s v="UP16ET5390"/>
    <n v="5.01281202359137"/>
  </r>
  <r>
    <s v="771296266509"/>
    <s v="07AAQFC6975N1ZH / CRETA PACKAGING"/>
    <s v="05AAECM6380J1ZA / M/S M R HealthCare Pvt. Ltd."/>
    <s v="North West Delhi / 110042"/>
    <s v="RAMNAGAR / 244715"/>
    <s v="771296266509 - 05/11/2022 22:13:00"/>
    <s v="22-23/98"/>
    <d v="2022-11-05T00:00:00"/>
    <n v="87983"/>
    <n v="15837"/>
    <x v="23"/>
    <m/>
    <s v="UK18TA0659"/>
    <n v="18.000068194992213"/>
  </r>
  <r>
    <s v="751300538132"/>
    <s v="07BPSPA7872N2Z1 / SHARVA INTERNATIONAL"/>
    <s v="05AAECM6380J1ZA / M/S M R HealthCare Pvt. Ltd."/>
    <s v="West Delhi / 110015"/>
    <s v="RAMNAGAR / 244715"/>
    <s v="751300538132 - 26/11/2022 04:13:00"/>
    <s v="SI-263/22-23"/>
    <d v="2022-11-25T00:00:00"/>
    <n v="230730.5"/>
    <n v="41531.49"/>
    <x v="1"/>
    <m/>
    <s v="UK18CA3698"/>
    <n v="18"/>
  </r>
  <r>
    <s v="781299498706"/>
    <s v="07AACCM6545P1ZX / MARS HEALTHCARE PVT.LIMITED-DELHI - (2021-2022)"/>
    <s v="05AAECM6380J1ZA / M.R. HEALTHCARE P LTD"/>
    <s v="DELHI / 110015"/>
    <s v="NAINITAL / 244715"/>
    <s v="781299498706 - 21/11/2022 22:31:00"/>
    <s v="M/22-23/02902"/>
    <d v="2022-11-21T00:00:00"/>
    <n v="76500"/>
    <n v="13770"/>
    <x v="40"/>
    <s v="FENBENDAZOLE IP"/>
    <s v="UK18CA4303"/>
    <n v="18"/>
  </r>
  <r>
    <s v="751299458772"/>
    <s v="07AAGFL4546C1ZI / LAXMI PRINT N PACK"/>
    <s v="05AAECM6380J1ZA / M/S M R HealthCare Pvt. Ltd."/>
    <s v="New Delhi / 110028"/>
    <s v="RAMNAGAR / 244715"/>
    <s v="751299458772 - 21/11/2022 22:31:00"/>
    <s v="2022-2023/793"/>
    <d v="2022-11-21T00:00:00"/>
    <n v="152173"/>
    <n v="0"/>
    <x v="23"/>
    <s v="BOX"/>
    <s v="UK18CA4303"/>
    <n v="0"/>
  </r>
  <r>
    <s v="741296504851"/>
    <s v="07BPSPA7872N2Z1 / SHARVA INTERNATIONAL"/>
    <s v="05AAECM6380J1ZA / M/S M R HealthCare Pvt. Ltd."/>
    <s v="West Delhi / 110015"/>
    <s v="RAMNAGAR / 244715"/>
    <s v="741296504851 - 07/11/2022 23:45:00"/>
    <s v="SI-231/22-23"/>
    <d v="2022-11-07T00:00:00"/>
    <n v="230730.5"/>
    <n v="41531.49"/>
    <x v="1"/>
    <m/>
    <s v="DL01MA7169"/>
    <n v="18"/>
  </r>
  <r>
    <s v="661491347748"/>
    <s v="26AAACA3345D1Z8 / Amisha Vinyls Pvt. Ltd."/>
    <s v="05AAECM6380J1ZA / M.R.HEALTHCARE PVT.LTD."/>
    <s v="Daman / 396210"/>
    <s v="NAINITAL / 244715"/>
    <s v="661491347748 - 24/11/2022 17:53:00"/>
    <n v="3226"/>
    <d v="2022-11-24T00:00:00"/>
    <n v="64101.8"/>
    <m/>
    <x v="12"/>
    <s v="Pharma grade - 01 - Dark Amber Colour - 0.25mm Thick - 198mm Width - Paper Core 9 - BOX - WL"/>
    <s v="UK06TA5305"/>
    <n v="0"/>
  </r>
  <r>
    <s v="641489700113"/>
    <s v="26AAACA3345D1Z8 / Amisha Vinyls Pvt. Ltd."/>
    <s v="05AAECM6380J1ZA / M.R.HEALTHCARE PVT.LTD."/>
    <s v="Daman / 396210"/>
    <s v="NAINITAL / 244715"/>
    <s v="641489700113 - 21/11/2022 11:46:00"/>
    <n v="3176"/>
    <d v="2022-11-21T00:00:00"/>
    <n v="37953.919999999998"/>
    <m/>
    <x v="12"/>
    <s v="Pharma grade - 01 - Peach Colour - 0.25mm Thick - 180mm Width - Paper Core 9 - BOX - WL"/>
    <s v="UK06CA1176"/>
    <n v="0"/>
  </r>
  <r>
    <s v="201461045287"/>
    <s v="27AAPFN8428E1ZW / NILRAJ LIFECARE"/>
    <s v="05AAECM6380J1ZA / M/S M R HealthCare Pvt. Ltd."/>
    <s v="BHIWANDI / 421302"/>
    <s v="RAMNAGAR / 244715"/>
    <s v="201461045287 - 29/07/2022 23:18:00"/>
    <n v="181"/>
    <d v="2022-07-28T00:00:00"/>
    <n v="240442"/>
    <n v="43279.56"/>
    <x v="116"/>
    <s v="H.L MEDICINE"/>
    <s v="HR38AA4437"/>
    <n v="18"/>
  </r>
  <r>
    <s v="241459880551"/>
    <s v="27ABOPJ6789J1ZR / SHRIYA PHARMA AND SURGICAL"/>
    <s v="05AAECM6380J1ZA / M R HEALTHCARE PVT LTD"/>
    <s v="BHIWANDI / 421302"/>
    <s v="RAMNAGAR / 244715"/>
    <s v="241459880551 - 26/07/2022 22:54:00"/>
    <s v="SP0684"/>
    <d v="2022-07-26T00:00:00"/>
    <n v="44200"/>
    <n v="7956"/>
    <x v="38"/>
    <s v="ETORICOXIB IP"/>
    <s v="HR38AA4437"/>
    <n v="18"/>
  </r>
  <r>
    <s v="221455854848"/>
    <s v="27AAOFJ8484B1ZZ / JUANA PHARMA"/>
    <s v="05AAECM6380J1ZA / M/S M R HealthCare Pvt. Ltd."/>
    <s v="BHIWANDI THANE / 421302"/>
    <s v="RAMNAGAR / 244715"/>
    <s v="221455854848 - 20/07/2022 18:10:00"/>
    <s v="SAL/22-23/0262"/>
    <d v="2022-07-13T00:00:00"/>
    <n v="223723.5"/>
    <n v="40270.230000000003"/>
    <x v="1"/>
    <s v="H L MEDICINE"/>
    <s v="UK18CA4767"/>
    <n v="18.000000000000004"/>
  </r>
  <r>
    <s v="221453111480"/>
    <s v="27AAFCS9959Q1Z4 / SNEHA MEDICARE PVT LTD"/>
    <s v="05AAECM6380J1ZA / M R HEALTHCARE PVT LTD"/>
    <s v="BHIWANDI / 421302"/>
    <s v="DIST NAINITAL / 244715"/>
    <s v="221453111480 - 19/07/2022 17:20:00"/>
    <s v="H02713"/>
    <d v="2022-07-09T00:00:00"/>
    <n v="180000"/>
    <n v="32400"/>
    <x v="40"/>
    <s v="ORNIDAZOLE IP"/>
    <s v="DL01GC6492"/>
    <n v="18"/>
  </r>
  <r>
    <s v="281455594872"/>
    <s v="27AABCS4582P1ZP / SHUBHAM PHARMACHEM PVT LTD"/>
    <s v="05AAECM6380J1ZA / M/S M R HealthCare Pvt. Ltd."/>
    <s v="RAHNAL VILLAGE BHIWANDI  THANE / 421302"/>
    <s v="RAMNAGAR / 244715"/>
    <s v="281455594872 - 18/07/2022 18:06:00"/>
    <s v="SPPL/22-23/D1615"/>
    <d v="2022-07-15T00:00:00"/>
    <n v="31000"/>
    <n v="5580"/>
    <x v="1"/>
    <s v="IP"/>
    <s v="UK18CA4767"/>
    <n v="18"/>
  </r>
  <r>
    <s v="211454312849"/>
    <s v="27AAFCS9959Q1Z4 / SNEHA MEDICARE PVT LTD"/>
    <s v="05AAECM6380J1ZA / M R HEALTHCARE PVT LTD"/>
    <s v="BHIWANDI / 421302"/>
    <s v="DIST NAINITAL / 244715"/>
    <s v="211454312849 - 14/07/2022 17:57:00"/>
    <s v="H02793"/>
    <d v="2022-07-13T00:00:00"/>
    <n v="104250"/>
    <n v="18765"/>
    <x v="89"/>
    <s v="IBUPROFEN IP"/>
    <s v="UK18CA3698"/>
    <n v="18"/>
  </r>
  <r>
    <s v="241453964653"/>
    <s v="27AAFPP9715L1Z4 / ATMAN PHARMACEUTICALS"/>
    <s v="05AAECM6380J1ZA / M.R.HEALTHCARE PVT. LTD."/>
    <s v="DIST THANE / 421302"/>
    <s v="NAINITAL / 244715"/>
    <s v="241453964653 - 13/07/2022 18:13:00"/>
    <s v="SAL/0423"/>
    <d v="2022-07-12T00:00:00"/>
    <n v="210000"/>
    <n v="37800"/>
    <x v="29"/>
    <s v="PYRANTEL PAMOATE USP"/>
    <s v="UK18CA4767"/>
    <n v="18"/>
  </r>
  <r>
    <s v="291452445422"/>
    <s v="27AAFPP9715L1Z4 / ATMAN PHARMACEUTICALS"/>
    <s v="05AAECM6380J1ZA / M.R.HEALTHCARE PVT. LTD."/>
    <s v="DIST THANE / 421302"/>
    <s v="NAINITAL / 244715"/>
    <s v="291452445422 - 10/07/2022 14:56:00"/>
    <s v="SAL/0400"/>
    <d v="2022-07-08T00:00:00"/>
    <n v="52500"/>
    <n v="9450"/>
    <x v="29"/>
    <s v="PYRANTEL PAMOATE USP"/>
    <s v="HR38V7740"/>
    <n v="18"/>
  </r>
  <r>
    <s v="261460657263"/>
    <s v="27AAECA1503D1ZE / ABIL CHEMPHARMA PVT. LTD."/>
    <s v="05AAECM6380J1ZA / M.R.HEALTH CARE PVT.LTD.,"/>
    <s v="THANE / 421302"/>
    <s v="NAINITAL / 244715"/>
    <s v="261460657263 - 31/07/2022 13:43:00"/>
    <s v="M/2022-23/001089"/>
    <d v="2022-07-27T00:00:00"/>
    <n v="828000"/>
    <n v="149040"/>
    <x v="117"/>
    <s v="FEBANTEL"/>
    <s v="UK18CA4767"/>
    <n v="18"/>
  </r>
  <r>
    <s v="201458675547"/>
    <s v="27AAACS0699E1ZB / SUNSHINE ORGANICS PVT LTD"/>
    <s v="05AAECM6380J1ZA / M/S M R HealthCare Pvt. Ltd."/>
    <s v="Palghar / 401506"/>
    <s v="nainital / 244715"/>
    <s v="201458675547 - 23/07/2022 17:44:00"/>
    <s v="2022-23/314"/>
    <d v="2022-07-23T00:00:00"/>
    <n v="87500"/>
    <n v="15750"/>
    <x v="88"/>
    <s v="MAGNESIUM STEARATE IP"/>
    <s v="UK18CA4767"/>
    <n v="18"/>
  </r>
  <r>
    <s v="221456850209"/>
    <s v="27AENPD6078C1ZH / VISION PHARMA"/>
    <s v="05AAECM6380J1ZA / M/S M R HealthCare Pvt. Ltd."/>
    <s v="LAXMI NAGAR GHATKOPAR MUMBAI / 400077"/>
    <s v="RAMNAGAR / 244715"/>
    <s v="221456850209 - 20/07/2022 02:22:00"/>
    <s v="VP0274/22-23"/>
    <d v="2022-07-16T00:00:00"/>
    <n v="105236"/>
    <n v="18942.48"/>
    <x v="7"/>
    <s v="H L MEDICINE"/>
    <s v="UK18J9020"/>
    <n v="18"/>
  </r>
  <r>
    <s v="251455775788"/>
    <s v="27AFGPS1041E1ZQ / LUCONIC CHEMICALS"/>
    <s v="05AAECM6380J1ZA / M/S M R HealthCare Pvt. Ltd."/>
    <s v="Mumbai Suburban / 400066"/>
    <s v="RAMNAGAR / 244715"/>
    <s v="251455775788 - 19/07/2022 18:51:00"/>
    <s v="SAL/000385"/>
    <d v="2022-07-16T00:00:00"/>
    <n v="42710.34"/>
    <n v="7687.86"/>
    <x v="28"/>
    <s v="IP"/>
    <s v="UK18CA4767"/>
    <n v="17.999997190375915"/>
  </r>
  <r>
    <s v="261455851292"/>
    <s v="27ABSFA6620P1ZR / ARIHEET PHARMACHEM LLP"/>
    <s v="05AAECM6380J1ZA / M R HEALTHCARE PVT LTD"/>
    <s v="BHIWANDI / 421302"/>
    <s v="RAMNAGAR / 244715"/>
    <s v="261455851292 - 18/07/2022 21:00:00"/>
    <s v="AP0363"/>
    <d v="2022-07-16T00:00:00"/>
    <n v="15500"/>
    <n v="2790"/>
    <x v="76"/>
    <s v="ASCORBIC ACID"/>
    <s v="UK06CB8289"/>
    <n v="18"/>
  </r>
  <r>
    <s v="271455729749"/>
    <s v="27AAFPP9715L1Z4 / ATMAN PHARMACEUTICALS"/>
    <s v="05AAECM6380J1ZA / M.R.HEALTHCARE PVT. LTD."/>
    <s v="DIST THANE / 421302"/>
    <s v="NAINITAL / 244715"/>
    <s v="271455729749 - 18/07/2022 18:06:00"/>
    <s v="SAL/0447"/>
    <d v="2022-07-16T00:00:00"/>
    <n v="105000"/>
    <n v="18900"/>
    <x v="29"/>
    <s v="PYRANTEL PAMOATE USP"/>
    <s v="UK18CA4767"/>
    <n v="18"/>
  </r>
  <r>
    <s v="201453071117"/>
    <s v="27AAFCS9959Q1Z4 / SNEHA MEDICARE PVT LTD"/>
    <s v="05AAECM6380J1ZA / M R HEALTHCARE PVT LTD"/>
    <s v="BHIWANDI / 421302"/>
    <s v="DIST NAINITAL / 244715"/>
    <s v="201453071117 - 14/07/2022 17:57:00"/>
    <s v="H02707"/>
    <d v="2022-07-09T00:00:00"/>
    <n v="47000"/>
    <n v="8460"/>
    <x v="40"/>
    <s v="KETOCONAZOLE IP"/>
    <s v="UK18CA3698"/>
    <n v="18"/>
  </r>
  <r>
    <s v="251452544206"/>
    <s v="27AABCS4582P1ZP / SHUBHAM PHARMACHEM PVT LTD"/>
    <s v="05AAECM6380J1ZA / M/S M R HealthCare Pvt. Ltd."/>
    <s v="RAHNAL VILLAGE BHIWANDI  THANE / 421302"/>
    <s v="RAMNAGAR / 244715"/>
    <s v="251452544206 - 11/07/2022 20:20:00"/>
    <s v="SPPL/22-23/D1525"/>
    <d v="2022-07-08T00:00:00"/>
    <n v="31500"/>
    <n v="5670"/>
    <x v="40"/>
    <s v="IP"/>
    <s v="UK18CA4767"/>
    <n v="18"/>
  </r>
  <r>
    <s v="211452213052"/>
    <s v="27AAFPP9715L1Z4 / ATMAN PHARMACEUTICALS"/>
    <s v="05AAECM6380J1ZA / M.R.HEALTHCARE PVT. LTD."/>
    <s v="DIST THANE / 421302"/>
    <s v="NAINITAL / 244715"/>
    <s v="211452213052 - 10/07/2022 14:56:00"/>
    <s v="SAL/0397"/>
    <d v="2022-07-07T00:00:00"/>
    <n v="157500"/>
    <n v="28350"/>
    <x v="29"/>
    <s v="PYRANTEL PAMOATE USP"/>
    <s v="UK18CA4767"/>
    <n v="18"/>
  </r>
  <r>
    <s v="201452177205"/>
    <s v="27ACPPT4033P1ZT / HINDUSTAN CHEMICALS AND PHARMA CEUTICALS"/>
    <s v="05AAECM6380J1ZA / M/S M R HealthCare Pvt. Ltd."/>
    <s v="Mumbai Suburban / 400078"/>
    <s v="RAMNAGAR / 244715"/>
    <s v="201452177205 - 09/07/2022 17:45:00"/>
    <n v="207"/>
    <d v="2022-07-07T00:00:00"/>
    <n v="129340.3"/>
    <n v="23281.25"/>
    <x v="1"/>
    <m/>
    <s v="UK06CB8289"/>
    <n v="17.999996907383082"/>
  </r>
  <r>
    <s v="261450914417"/>
    <s v="27AAFCS9959Q1Z4 / SNEHA MEDICARE PVT LTD"/>
    <s v="05AAECM6380J1ZA / M R HEALTHCARE PVT LTD"/>
    <s v="BHIWANDI / 421302"/>
    <s v="DIST NAINITAL / 244715"/>
    <s v="261450914417 - 06/07/2022 17:14:00"/>
    <s v="H02502"/>
    <d v="2022-07-04T00:00:00"/>
    <n v="221250"/>
    <n v="39825"/>
    <x v="29"/>
    <s v="SILDENAFIL CITRATE IP"/>
    <s v="DL01GE1300"/>
    <n v="18"/>
  </r>
  <r>
    <s v="221460218183"/>
    <s v="27AAFCS9959Q1Z4 / SNEHA MEDICARE PVT LTD"/>
    <s v="05AAECM6380J1ZA / M R HEALTHCARE PVT LTD"/>
    <s v="BHIWANDI / 421302"/>
    <s v="DIST NAINITAL / 244715"/>
    <s v="221460218183 - 28/07/2022 18:27:00"/>
    <s v="H03194"/>
    <d v="2022-07-27T00:00:00"/>
    <n v="70000"/>
    <n v="12600"/>
    <x v="118"/>
    <s v="ATENOLOL IP"/>
    <s v="DL01GC5750"/>
    <n v="18"/>
  </r>
  <r>
    <s v="291473593081"/>
    <s v="27AACPA0543Q1ZS / KHUSHI CHEM"/>
    <s v="05AAECM6380J1ZA / M R HEALTHCARE PVT LTD"/>
    <s v="DIST.THANE / 421302"/>
    <s v="NAINITAL / 244715"/>
    <s v="291473593081 - 28/08/2022 16:29:00"/>
    <n v="270"/>
    <d v="2022-08-27T00:00:00"/>
    <n v="360360"/>
    <n v="64865"/>
    <x v="1"/>
    <m/>
    <m/>
    <n v="18.000055500055499"/>
  </r>
  <r>
    <s v="281473421354"/>
    <s v="27AAACG1864F1ZS / G.C.Chemie Pharmie Ltd."/>
    <s v="05AAECM6380J1ZA / M.R Healthcare Pvt. Ltd"/>
    <s v="BHIWANDI,DIST-THANE / 421302"/>
    <s v="Ramnagar / 244715"/>
    <s v="281473421354 - 27/08/2022 10:17:00"/>
    <s v="GCBH000722"/>
    <d v="2022-08-26T00:00:00"/>
    <n v="877500"/>
    <n v="157950"/>
    <x v="33"/>
    <s v="CEFIXIME TRIHYDRATE COMPACTED"/>
    <s v="UK18CA5709"/>
    <n v="18"/>
  </r>
  <r>
    <s v="241464948576"/>
    <s v="27AAFCS9959Q1Z4 / SNEHA MEDICARE PVT LTD"/>
    <s v="05AAECM6380J1ZA / M R HEALTHCARE PVT LTD"/>
    <s v="BHIWANDI / 421302"/>
    <s v="DIST NAINITAL / 244715"/>
    <s v="241464948576 - 10/08/2022 09:55:00"/>
    <s v="H03513"/>
    <d v="2022-08-06T00:00:00"/>
    <n v="122000"/>
    <n v="21960"/>
    <x v="100"/>
    <s v="METFORMIN HCL I.P."/>
    <s v="HR38AC4595"/>
    <n v="18"/>
  </r>
  <r>
    <s v="211464863832"/>
    <s v="27AAFCS9959Q1Z4 / SNEHA MEDICARE PVT LTD"/>
    <s v="05AAECM6380J1ZA / M R HEALTHCARE PVT LTD"/>
    <s v="BHIWANDI / 421302"/>
    <s v="DIST NAINITAL / 244715"/>
    <s v="211464863832 - 10/08/2022 09:55:00"/>
    <s v="H03507"/>
    <d v="2022-08-06T00:00:00"/>
    <n v="239860"/>
    <n v="43174.8"/>
    <x v="40"/>
    <s v="ORNIDAZOLE IP"/>
    <s v="HR38AC4595"/>
    <n v="18"/>
  </r>
  <r>
    <s v="241462488454"/>
    <s v="27AAFPP9715L1Z4 / ATMAN PHARMACEUTICALS"/>
    <s v="05AAECM6380J1ZA / M.R.HEALTHCARE PVT. LTD."/>
    <s v="DIST THANE / 421302"/>
    <s v="NAINITAL / 244715"/>
    <s v="241462488454 - 02/08/2022 15:26:00"/>
    <s v="SAL/0526"/>
    <d v="2022-08-01T00:00:00"/>
    <n v="210000"/>
    <n v="37800"/>
    <x v="29"/>
    <s v="PYRANTEL PAMOATE USP"/>
    <s v="UK18CA4303"/>
    <n v="18"/>
  </r>
  <r>
    <s v="261472192075"/>
    <s v="27AAAFM4121E1ZU / MEDI PHARMA DRUG HOUSE"/>
    <s v="05AAECM6380J1ZA / M R HEALTHCARE PVT LTD"/>
    <s v="THANE / 421302"/>
    <s v="UTTARANCHAL / 244715"/>
    <s v="261472192075 - 26/08/2022 17:47:00"/>
    <n v="1692"/>
    <d v="2022-08-24T00:00:00"/>
    <n v="830000"/>
    <n v="149400"/>
    <x v="33"/>
    <s v="AZITHROMYCIN IP/EP/USP"/>
    <s v="UK18CA5709"/>
    <n v="18"/>
  </r>
  <r>
    <s v="251472123209"/>
    <s v="27AAFPP9715L1Z4 / ATMAN PHARMACEUTICALS"/>
    <s v="05AAECM6380J1ZA / M.R.HEALTHCARE PVT. LTD."/>
    <s v="DIST THANE / 421302"/>
    <s v="NAINITAL / 244715"/>
    <s v="251472123209 - 25/08/2022 19:07:00"/>
    <s v="SAL/0689"/>
    <d v="2022-08-24T00:00:00"/>
    <n v="105000"/>
    <n v="18900"/>
    <x v="29"/>
    <s v="PYRANTEL PAMOATE USP"/>
    <m/>
    <n v="18"/>
  </r>
  <r>
    <s v="281467732556"/>
    <s v="27AAAFP8067G1Z2 / PIOMA CHEMICALS"/>
    <s v="05AAECM6380J1ZA / M R HEALTH CARE PVT LTD"/>
    <s v="THANE / 421302"/>
    <s v="NAINITAL / 244715"/>
    <s v="281467732556 - 16/08/2022 16:10:00"/>
    <n v="106090"/>
    <d v="2022-08-13T00:00:00"/>
    <n v="228000"/>
    <n v="41040"/>
    <x v="42"/>
    <m/>
    <s v="UK18CA4303"/>
    <n v="18"/>
  </r>
  <r>
    <s v="231467826359"/>
    <s v="27AAAFM4121E1ZU / MEDI PHARMA DRUG HOUSE"/>
    <s v="05AAECM6380J1ZA / M R HEALTHCARE PVT LTD"/>
    <s v="THANE / 421302"/>
    <s v="UTTARANCHAL / 244715"/>
    <s v="231467826359 - 16/08/2022 16:07:00"/>
    <n v="1571"/>
    <d v="2022-08-13T00:00:00"/>
    <n v="1478750"/>
    <n v="266175"/>
    <x v="33"/>
    <s v="AZITHROMYCIN IP/EP/USP"/>
    <s v="UK18CA4303"/>
    <n v="18"/>
  </r>
  <r>
    <s v="251466542791"/>
    <s v="27AAACU6175D1ZC / UNNATI PHARMACEUTICALS PVT LTD"/>
    <s v="05AAECM6380J1ZA / M R HEALTHCARE PVT LTD"/>
    <s v="Dist Thane / 421302"/>
    <s v="RAMNAGAR / 244715"/>
    <s v="251466542791 - 14/08/2022 14:16:00"/>
    <s v="MUMB003029"/>
    <d v="2022-08-10T00:00:00"/>
    <n v="66322.87"/>
    <n v="11938.12"/>
    <x v="1"/>
    <s v="ASPARTAME POWDER"/>
    <m/>
    <n v="18.000005126436779"/>
  </r>
  <r>
    <s v="271465955079"/>
    <s v="27AAFPP9715L1Z4 / ATMAN PHARMACEUTICALS"/>
    <s v="05AAECM6380J1ZA / M.R.HEALTHCARE PVT. LTD."/>
    <s v="DIST THANE / 421302"/>
    <s v="NAINITAL / 244715"/>
    <s v="271465955079 - 11/08/2022 14:11:00"/>
    <s v="SAL/0585"/>
    <d v="2022-08-09T00:00:00"/>
    <n v="34000"/>
    <n v="6120"/>
    <x v="119"/>
    <s v="GUAIFENESIN IP"/>
    <m/>
    <n v="18"/>
  </r>
  <r>
    <s v="201466039579"/>
    <s v="27AICPM2590B1ZJ / SADHANA ENTERPRISES"/>
    <s v="05AAECM6380J1ZA / M R HEALTHCARE PVT LTD"/>
    <s v="THANE Z5 / 421302"/>
    <s v="NAINITAL / 244715"/>
    <s v="201466039579 - 11/08/2022 00:40:00"/>
    <n v="1238"/>
    <d v="2022-08-09T00:00:00"/>
    <n v="82791"/>
    <n v="14902"/>
    <x v="1"/>
    <s v="METHYL PREDNISOLONE IP"/>
    <s v="HR38AA4437"/>
    <n v="17.999541012912033"/>
  </r>
  <r>
    <s v="271466275301"/>
    <s v="27AAXFP8362R1ZU / PHARMACARE INTERNATIONAL"/>
    <s v="05AAECM6380J1ZA / M.R.HEALTHCARE PVT.LTD"/>
    <s v="Bhiwandi-Dist-Thane / 421302"/>
    <s v="DIST NAINITAL / 244715"/>
    <s v="271466275301 - 10/08/2022 11:50:00"/>
    <s v="22-23/0134"/>
    <d v="2022-08-10T00:00:00"/>
    <n v="1179375"/>
    <n v="212287.5"/>
    <x v="32"/>
    <s v="AMOXYCILLIN TRIHYDRATE"/>
    <m/>
    <n v="18"/>
  </r>
  <r>
    <s v="291463851296"/>
    <s v="27AAFCS9959Q1Z4 / SNEHA MEDICARE PVT LTD"/>
    <s v="05AAECM6380J1ZA / M R HEALTHCARE PVT LTD"/>
    <s v="BHIWANDI / 421302"/>
    <s v="DIST NAINITAL / 244715"/>
    <s v="291463851296 - 06/08/2022 17:00:00"/>
    <s v="H03429"/>
    <d v="2022-08-04T00:00:00"/>
    <n v="330400"/>
    <n v="59472"/>
    <x v="41"/>
    <s v="PHENYLEPHRINE HCL IP"/>
    <s v="UP22AT9040"/>
    <n v="18"/>
  </r>
  <r>
    <s v="291463491711"/>
    <s v="27AACPA0543Q1ZS / KHUSHI CHEM"/>
    <s v="05AAECM6380J1ZA / M R HEALTHCARE PVT LTD"/>
    <s v="DIST.THANE / 421302"/>
    <s v="NAINITAL / 244715"/>
    <s v="291463491711 - 03/08/2022 20:43:00"/>
    <n v="202"/>
    <d v="2022-08-03T00:00:00"/>
    <n v="432432"/>
    <n v="77838"/>
    <x v="1"/>
    <m/>
    <m/>
    <n v="18.000055500055499"/>
  </r>
  <r>
    <s v="351489828383"/>
    <s v="05AAFCH1159K1ZL / HARIDWAR FOILS PRIVATE LIMITED"/>
    <s v="05AAECM6380J1ZA / M/S M R HealthCare Pvt. Ltd."/>
    <s v="Haridwar / 249403"/>
    <s v="RAMNAGAR / 244715"/>
    <s v="351489828383 - 30/08/2022 21:58:00"/>
    <n v="338"/>
    <d v="2022-08-30T00:00:00"/>
    <n v="58269.599999999999"/>
    <n v="10488.52"/>
    <x v="81"/>
    <s v="BLISTER"/>
    <s v="UK17CA4303"/>
    <n v="17.999986270714061"/>
  </r>
  <r>
    <s v="351489083601"/>
    <s v="05ABNPA6018N2ZK / Manish Pharma"/>
    <s v="05AAECM6380J1ZA / MR HEALTHCARE PVT LTD"/>
    <s v="ROORKEE / 247667"/>
    <s v="KOSI ROAD,RAMNAGAR / 244715"/>
    <s v="351489083601 - 30/08/2022 21:03:00"/>
    <s v="MPR/22-23/2034"/>
    <d v="2022-08-29T00:00:00"/>
    <n v="830415"/>
    <n v="149474.70000000001"/>
    <x v="33"/>
    <s v="OFLOXACIN IP ( MAKE AARTI DRUG )"/>
    <s v="UK18CA4460"/>
    <n v="18.000000000000004"/>
  </r>
  <r>
    <s v="301489465268"/>
    <s v="02AAECS5320E1ZZ / P K PHARMATECH PRIVATE LIMITED"/>
    <s v="05AAECM6380J1ZA / M/S M R HealthCare Pvt. Ltd."/>
    <s v="Baddi / 173205"/>
    <s v="RAMNAGAR / 244715"/>
    <s v="301489465268 - 30/08/2022 18:34:00"/>
    <s v="206/22-23/B"/>
    <d v="2022-08-30T00:00:00"/>
    <n v="289000"/>
    <n v="52020"/>
    <x v="120"/>
    <s v="Cloxacillin Sodium BP COMP"/>
    <s v="HP12H9108"/>
    <n v="18"/>
  </r>
  <r>
    <s v="301489660889"/>
    <s v="05ABSFA7387F1Z0 / AASTHA MEDI SOLUTIONS"/>
    <s v="05AAECM6380J1ZA / M/S M R HealthCare Pvt. Ltd."/>
    <s v="Haridwar / 247667"/>
    <s v="RAMNAGAR / 244715"/>
    <s v="301489660889 - 30/08/2022 17:02:00"/>
    <n v="539"/>
    <d v="2022-08-30T00:00:00"/>
    <n v="57616.7"/>
    <n v="10371"/>
    <x v="14"/>
    <s v="PRINTED ALUMINIUM FOIL"/>
    <s v="UK18CA3698"/>
    <n v="17.999989586352569"/>
  </r>
  <r>
    <s v="361488073606"/>
    <s v="05CQEPR8480H1ZF / GLOBAL TONICS"/>
    <s v="05AAECM6380J1ZA / M/S M R HealthCare Pvt. Ltd."/>
    <s v="Haridwar / 249410"/>
    <s v="RAMNAGAR / 244715"/>
    <s v="361488073606 - 26/08/2022 20:55:00"/>
    <s v="84/22-23"/>
    <d v="2022-08-26T00:00:00"/>
    <n v="218750"/>
    <n v="39375"/>
    <x v="26"/>
    <m/>
    <s v="UK17CA1878"/>
    <n v="18"/>
  </r>
  <r>
    <s v="321487529070"/>
    <s v="05AASFR5565R1Z4 / M/S ROORKEE FOIL"/>
    <s v="05AAECM6380J1ZA / M/S M R HealthCare Pvt. Ltd."/>
    <s v="Haridwar / 247667"/>
    <s v="RAMNAGAR / 244715"/>
    <s v="321487529070 - 25/08/2022 23:44:00"/>
    <s v="RK/22-23/1096"/>
    <d v="2022-08-25T00:00:00"/>
    <n v="80430.149999999994"/>
    <n v="14477.42"/>
    <x v="20"/>
    <s v="BLISTER FOIL PRINTED"/>
    <s v="UK17CA4642"/>
    <n v="17.99999129679604"/>
  </r>
  <r>
    <s v="361487490611"/>
    <s v="05ABSFA7387F1Z0 / AASTHA MEDI SOLUTIONS"/>
    <s v="05AAECM6380J1ZA / M/S M R HealthCare Pvt. Ltd."/>
    <s v="Haridwar / 247667"/>
    <s v="RAMNAGAR / 244715"/>
    <s v="361487490611 - 25/08/2022 16:31:00"/>
    <n v="526"/>
    <d v="2022-08-25T00:00:00"/>
    <n v="13200"/>
    <n v="2376"/>
    <x v="11"/>
    <s v="PRINTED ROLLER"/>
    <s v="UK17CA4642"/>
    <n v="18"/>
  </r>
  <r>
    <s v="351486038873"/>
    <s v="05ACPFS1430H1Z7 / M/S SWASTIK ART CREATIONS"/>
    <s v="05AAECM6380J1ZA / M/S M R HealthCare Pvt. Ltd."/>
    <s v="Haridwar / 247667"/>
    <s v="RAMNAGAR / 244715"/>
    <s v="351486038873 - 22/08/2022 23:18:00"/>
    <s v="S/0717/22-23"/>
    <d v="2022-08-22T00:00:00"/>
    <n v="50431.5"/>
    <n v="9077.68"/>
    <x v="4"/>
    <s v="CARTONS"/>
    <s v="UK18CA3698"/>
    <n v="18.000019828876795"/>
  </r>
  <r>
    <s v="361484848446"/>
    <s v="05ALGPC9789H1ZQ / OM PHARMACEUTICALS"/>
    <s v="05AAECM6380J1ZA / M/S M R HealthCare Pvt. Ltd."/>
    <s v="Haridwar / 249402"/>
    <s v="RAMNAGAR / 244715"/>
    <s v="361484848446 - 19/08/2022 20:03:00"/>
    <s v="OP/00183/2022-23"/>
    <d v="2022-08-19T00:00:00"/>
    <n v="145000"/>
    <n v="26100"/>
    <x v="95"/>
    <s v="LACTOSE 200 MESH"/>
    <s v="UK18CA3698"/>
    <n v="18"/>
  </r>
  <r>
    <s v="361484037734"/>
    <s v="05AAHFI1252P1Z8 / IATRIC BIO SCIENCES LLP."/>
    <s v="05AAECM6380J1ZA / M.R.HEALTHCARE PVT. LTD."/>
    <s v="ROORKEE / 247667"/>
    <s v="NAINITAL / 244715"/>
    <s v="361484037734 - 17/08/2022 23:07:00"/>
    <s v="IBS/22-23/03611"/>
    <d v="2022-08-17T00:00:00"/>
    <n v="38019"/>
    <n v="6843.42"/>
    <x v="73"/>
    <s v="VITAMIN D3 STABILIZED 500000 IU/GM(29362940)STABICO"/>
    <s v="UK18CA3698"/>
    <n v="18"/>
  </r>
  <r>
    <s v="321481929362"/>
    <s v="03AABCS6468G1ZD / Nectar Lifesciences Limited"/>
    <s v="05AAECM6380J1ZA / M.R. HEALTHCARE PVT. LTD."/>
    <s v="Derabassi-(Punjab) / 140507"/>
    <s v="RAMNAGAR-(Uttarakhand) / 244715"/>
    <s v="321481929362 - 10/08/2022 17:01:00"/>
    <n v="1210653"/>
    <d v="2022-08-10T00:00:00"/>
    <n v="847500"/>
    <m/>
    <x v="33"/>
    <s v="CEFPODOXIME PROXETIL IP (COMP.)"/>
    <m/>
    <n v="0"/>
  </r>
  <r>
    <s v="311478064149"/>
    <s v="05ALGPC9789H1ZQ / OM PHARMACEUTICALS"/>
    <s v="05AAECM6380J1ZA / M/S M R HealthCare Pvt. Ltd."/>
    <s v="Haridwar / 249402"/>
    <s v="RAMNAGAR / 244715"/>
    <s v="311478064149 - 01/08/2022 20:28:00"/>
    <s v="OP/00161/2022-23"/>
    <d v="2022-08-01T00:00:00"/>
    <n v="43200"/>
    <n v="7776"/>
    <x v="50"/>
    <s v="ISO PROPYL ALCOHOL"/>
    <s v="UK18CA3698"/>
    <n v="18"/>
  </r>
  <r>
    <s v="381490344541"/>
    <s v="05AAVFR9326F1ZR / ROLL PACK ENTERPRISES KASHIPUR"/>
    <s v="05AAECM6380J1ZA / M/S M R HealthCare Pvt. Ltd."/>
    <s v="Udham Singh Nagar / 244713"/>
    <s v="RAMNAGAR / 244715"/>
    <s v="381490344541 - 31/08/2022 20:17:00"/>
    <n v="5246"/>
    <d v="2022-08-31T00:00:00"/>
    <n v="48881"/>
    <n v="8798.58"/>
    <x v="72"/>
    <s v="Photo Polymer Printing Plate"/>
    <s v="UK18ER1233"/>
    <n v="18"/>
  </r>
  <r>
    <s v="301489702925"/>
    <s v="05FYDPS0716P2ZZ / PHARMA PACK"/>
    <s v="05AAECM6380J1ZA / M/S M R HealthCare Pvt. Ltd."/>
    <s v="Haridwar / 247667"/>
    <s v="RAMNAGAR / 244715"/>
    <s v="301489702925 - 31/08/2022 00:16:00"/>
    <s v="pp/0187"/>
    <d v="2022-08-30T00:00:00"/>
    <n v="93195.75"/>
    <n v="16775.240000000002"/>
    <x v="47"/>
    <s v="packaging material"/>
    <s v="UK18CA3698"/>
    <n v="18.000005365051521"/>
  </r>
  <r>
    <s v="351489688310"/>
    <s v="05AAJFB5728K1ZA / Blize Printers 2022-23"/>
    <s v="05AAECM6380J1ZA / M.R. HEALTHCARE PVT. LTD."/>
    <s v="BHAGWANPUR / 247661"/>
    <s v="RAMNAGAR / 244715"/>
    <s v="351489688310 - 31/08/2022 00:16:00"/>
    <s v="BP/22-23/1745"/>
    <d v="2022-08-30T00:00:00"/>
    <n v="57246.05"/>
    <n v="10304.299999999999"/>
    <x v="8"/>
    <s v="Carton"/>
    <s v="UK18CA3698"/>
    <n v="18.000019215299567"/>
  </r>
  <r>
    <s v="371489011132"/>
    <s v="05ANTPS9188H1Z0 / G K PHARMA"/>
    <s v="05AAECM6380J1ZA / MR HEALTHCARE PVT LTD"/>
    <s v="ROORKEE / 247667"/>
    <s v="RAMNAGAR / 244715"/>
    <s v="371489011132 - 29/08/2022 23:20:00"/>
    <s v="GKUK/0718/22-23"/>
    <d v="2022-08-29T00:00:00"/>
    <n v="111300"/>
    <n v="20034"/>
    <x v="5"/>
    <m/>
    <s v="UK18CA4303"/>
    <n v="18"/>
  </r>
  <r>
    <s v="351489089063"/>
    <s v="05AAFCH1159K1ZL / HARIDWAR FOILS PRIVATE LIMITED"/>
    <s v="05AAECM6380J1ZA / M/S M R HealthCare Pvt. Ltd."/>
    <s v="Haridwar / 249403"/>
    <s v="RAMNAGAR / 244715"/>
    <s v="351489089063 - 29/08/2022 20:55:00"/>
    <n v="330"/>
    <d v="2022-08-28T00:00:00"/>
    <n v="43460"/>
    <n v="7822.8"/>
    <x v="20"/>
    <s v="PRINTED FOIL"/>
    <s v="UK18CA4303"/>
    <n v="18"/>
  </r>
  <r>
    <s v="321488751870"/>
    <s v="05ABNFA2675D1ZK / Aura packaging"/>
    <s v="05AAECM6380J1ZA / M/S M R HealthCare Pvt. Ltd."/>
    <s v="Udham Singh Nagar / 263153"/>
    <s v="RAMNAGAR / 244715"/>
    <s v="321488751870 - 28/08/2022 13:37:00"/>
    <s v="AP/2022-23/00331"/>
    <d v="2022-08-28T00:00:00"/>
    <n v="50407.95"/>
    <n v="9073.44"/>
    <x v="23"/>
    <s v="corrugated boxx"/>
    <s v="UK06GA8352"/>
    <n v="18.000017854326551"/>
  </r>
  <r>
    <s v="321487967069"/>
    <s v="05ANTPS9188H1Z0 / G K PHARMA"/>
    <s v="05AAECM6380J1ZA / MR HEALTHCARE PVT LTD"/>
    <s v="ROORKEE / 247667"/>
    <s v="RAMNAGAR / 244715"/>
    <s v="321487967069 - 26/08/2022 23:33:00"/>
    <s v="GKUK/0705/22-23"/>
    <d v="2022-08-26T00:00:00"/>
    <n v="74000"/>
    <n v="13320"/>
    <x v="57"/>
    <m/>
    <s v="UK17CA1878"/>
    <n v="18"/>
  </r>
  <r>
    <s v="311488084041"/>
    <s v="05CQEPR8480H1ZF / GLOBAL TONICS"/>
    <s v="05AAECM6380J1ZA / M/S M R HealthCare Pvt. Ltd."/>
    <s v="Haridwar / 249410"/>
    <s v="RAMNAGAR / 244715"/>
    <s v="311488084041 - 26/08/2022 20:55:00"/>
    <s v="85/22-23"/>
    <d v="2022-08-26T00:00:00"/>
    <n v="165000"/>
    <n v="29700"/>
    <x v="68"/>
    <m/>
    <s v="UK17CA1878"/>
    <n v="18"/>
  </r>
  <r>
    <s v="331487486033"/>
    <s v="05ABNPA6018N2ZK / Manish Pharma"/>
    <s v="05AAECM6380J1ZA / MR HEALTHCARE PVT LTD"/>
    <s v="ROORKEE / 247667"/>
    <s v="KOSI ROAD,RAMNAGAR / 244715"/>
    <s v="331487486033 - 26/08/2022 15:04:00"/>
    <s v="MPR/22-23/1958"/>
    <d v="2022-08-25T00:00:00"/>
    <n v="330165"/>
    <n v="59429.7"/>
    <x v="33"/>
    <s v="OFLOXACIN IP ( MAKE AARTI DRUG )"/>
    <s v="UK04CB5242"/>
    <n v="18"/>
  </r>
  <r>
    <s v="391487134622"/>
    <s v="06AYEPS2518M1Z4 / FORTUNE SOURCING"/>
    <s v="05AAECM6380J1ZA / M/S M R HealthCare Pvt. Ltd."/>
    <s v="Gurugram / 122001"/>
    <s v="RAMNAGAR / 244715"/>
    <s v="391487134622 - 25/08/2022 20:44:00"/>
    <s v="FS/0139/2022-23"/>
    <d v="2022-08-24T00:00:00"/>
    <n v="88948.6"/>
    <n v="16010.75"/>
    <x v="10"/>
    <s v="LAMI TUBE"/>
    <s v="UK04CA6808"/>
    <n v="18.000002248489576"/>
  </r>
  <r>
    <s v="301487493133"/>
    <s v="05ABSFA7387F1Z0 / AASTHA MEDI SOLUTIONS"/>
    <s v="05AAECM6380J1ZA / M/S M R HealthCare Pvt. Ltd."/>
    <s v="Haridwar / 247667"/>
    <s v="RAMNAGAR / 244715"/>
    <s v="301487493133 - 25/08/2022 16:34:00"/>
    <n v="525"/>
    <d v="2022-08-25T00:00:00"/>
    <n v="37068.199999999997"/>
    <n v="6672.28"/>
    <x v="14"/>
    <s v="PRINTED ALUMINIUM FOIL"/>
    <s v="UK17CA4642"/>
    <n v="18.00001079092052"/>
  </r>
  <r>
    <s v="371485653040"/>
    <s v="05AAQCS5989R1ZZ / M/S SATYAM SHIVAM PACKAGING PRIVATE LIMITED"/>
    <s v="05AAECM6380J1ZA / M/S M R HealthCare Pvt. Ltd."/>
    <s v="Udham Singh Nagar / 263153"/>
    <s v="RAMNAGAR / 244715"/>
    <s v="371485653040 - 21/08/2022 16:31:00"/>
    <s v="SSP/22-23/757"/>
    <d v="2022-08-21T00:00:00"/>
    <n v="50747.1"/>
    <n v="9134.48"/>
    <x v="18"/>
    <s v="465X415X320 (5 PLY C BOX)"/>
    <s v="UK06CB0108"/>
    <n v="18.000003941111906"/>
  </r>
  <r>
    <s v="321485361643"/>
    <s v="05AASFR5565R1Z4 / M/S ROORKEE FOIL"/>
    <s v="05AAECM6380J1ZA / M/S M R HealthCare Pvt. Ltd."/>
    <s v="Haridwar / 247667"/>
    <s v="RAMNAGAR / 244715"/>
    <s v="321485361643 - 20/08/2022 23:23:00"/>
    <s v="RK/22-23/1060"/>
    <d v="2022-08-20T00:00:00"/>
    <n v="74935.3"/>
    <n v="13488.36"/>
    <x v="20"/>
    <s v="BLISTER FOIL PRINTED"/>
    <s v="UK18TA0659"/>
    <n v="18.00000800690729"/>
  </r>
  <r>
    <s v="361485454044"/>
    <s v="05AAHCT0752E1ZN / Tiwari Pharma Pvt. Ltd."/>
    <s v="05AAECM6380J1ZA / M.R. Healthcare Pvt. Ltd."/>
    <s v="Bahadrabad / 249402"/>
    <s v="RAMNAGAR / 244715"/>
    <s v="361485454044 - 20/08/2022 19:14:00"/>
    <s v="TPPL/22-23/4265"/>
    <d v="2022-08-20T00:00:00"/>
    <n v="52500"/>
    <n v="9450"/>
    <x v="121"/>
    <s v="Xanthan Gum Transparent"/>
    <s v="UK17CA1878"/>
    <n v="18"/>
  </r>
  <r>
    <s v="311484986530"/>
    <s v="05AAJFB5728K1ZA / Blize Printers 2022-23"/>
    <s v="05AAECM6380J1ZA / M.R. HEALTHCARE PVT. LTD."/>
    <s v="BHAGWANPUR / 247661"/>
    <s v="RAMNAGAR / 244715"/>
    <s v="311484986530 - 19/08/2022 23:12:00"/>
    <s v="BP/22-23/1621"/>
    <d v="2022-08-19T00:00:00"/>
    <n v="65548.47"/>
    <n v="11798.74"/>
    <x v="8"/>
    <s v="Carton"/>
    <s v="UK18CA3698"/>
    <n v="18.000023494064774"/>
  </r>
  <r>
    <s v="381484585044"/>
    <s v="05ACPFS1430H1Z7 / M/S SWASTIK ART CREATIONS"/>
    <s v="05AAECM6380J1ZA / M/S M R HealthCare Pvt. Ltd."/>
    <s v="Haridwar / 247667"/>
    <s v="RAMNAGAR / 244715"/>
    <s v="381484585044 - 19/08/2022 01:45:00"/>
    <s v="S/0705/22-23"/>
    <d v="2022-08-18T00:00:00"/>
    <n v="96193.7"/>
    <n v="17314.86"/>
    <x v="4"/>
    <s v="CARTONS"/>
    <s v="UK18CA4773"/>
    <n v="17.999993762585284"/>
  </r>
  <r>
    <s v="301484638159"/>
    <s v="05ABIPT0216G1ZY / M/S Gautam Minirals Chemicals"/>
    <s v="05AAECM6380J1ZA / M/S M R HealthCare Pvt. Ltd."/>
    <s v="Rudarpur / 263153"/>
    <s v="RAMNAGAR / 244715"/>
    <s v="301484638159 - 18/08/2022 19:20:00"/>
    <s v="22-23/212"/>
    <d v="2022-08-18T00:00:00"/>
    <n v="125250"/>
    <n v="15030"/>
    <x v="16"/>
    <m/>
    <s v="UK06CB1631"/>
    <n v="12"/>
  </r>
  <r>
    <s v="321483833300"/>
    <s v="05FYDPS0716P2ZZ / PHARMA PACK"/>
    <s v="05AAECM6380J1ZA / M/S M R HealthCare Pvt. Ltd."/>
    <s v="Haridwar / 247667"/>
    <s v="RAMNAGAR / 244715"/>
    <s v="321483833300 - 17/08/2022 23:07:00"/>
    <s v="PP/168"/>
    <d v="2022-08-17T00:00:00"/>
    <n v="42616"/>
    <n v="7670.88"/>
    <x v="47"/>
    <s v="PACKING MATERIAL"/>
    <s v="UK18CA3698"/>
    <n v="18"/>
  </r>
  <r>
    <s v="391483975968"/>
    <s v="05ALGPC9789H1ZQ / OM PHARMACEUTICALS"/>
    <s v="05AAECM6380J1ZA / M/S M R HealthCare Pvt. Ltd."/>
    <s v="Haridwar / 249402"/>
    <s v="RAMNAGAR / 244715"/>
    <s v="391483975968 - 17/08/2022 20:35:00"/>
    <s v="OP/00181/2022-23"/>
    <d v="2022-08-17T00:00:00"/>
    <n v="110400"/>
    <n v="19872"/>
    <x v="50"/>
    <s v="ISO PROPYL ALCOHOL IP"/>
    <s v="UK18CA3698"/>
    <n v="18"/>
  </r>
  <r>
    <s v="381483401668"/>
    <s v="05ALGPC9789H1ZQ / OM PHARMACEUTICALS"/>
    <s v="05AAECM6380J1ZA / M/S M R HealthCare Pvt. Ltd."/>
    <s v="Haridwar / 249402"/>
    <s v="RAMNAGAR / 244715"/>
    <s v="381483401668 - 16/08/2022 20:13:00"/>
    <s v="OP/00177/2022-23"/>
    <d v="2022-08-16T00:00:00"/>
    <n v="10500"/>
    <n v="525"/>
    <x v="122"/>
    <s v="TALCUM IP"/>
    <s v="UK17CA4306"/>
    <n v="5"/>
  </r>
  <r>
    <s v="311483397960"/>
    <s v="05ALGPC9789H1ZQ / OM PHARMACEUTICALS"/>
    <s v="05AAECM6380J1ZA / M/S M R HealthCare Pvt. Ltd."/>
    <s v="Haridwar / 249402"/>
    <s v="RAMNAGAR / 244715"/>
    <s v="311483397960 - 16/08/2022 20:13:00"/>
    <s v="OP/00176/2022-23"/>
    <d v="2022-08-16T00:00:00"/>
    <n v="37500"/>
    <n v="6750"/>
    <x v="22"/>
    <s v="ASPARTAME POWDER"/>
    <s v="UK17CA4306"/>
    <n v="18"/>
  </r>
  <r>
    <s v="301483580749"/>
    <s v="05AAUCS2953B1ZA / VIVA PACK PVT. LTD."/>
    <s v="05AAECM6380J1ZA / M.R HEALTHCARE PVT LTD."/>
    <s v="Roorkee / 247667"/>
    <s v="UTTARAKHAND / 244715"/>
    <s v="301483580749 - 16/08/2022 17:05:00"/>
    <s v="GST-2223-833"/>
    <d v="2022-08-16T00:00:00"/>
    <n v="79044"/>
    <n v="14227.92"/>
    <x v="17"/>
    <s v="PET BOTTLES 10ML 5GM RD AMB 2688"/>
    <s v="UK17CA4306"/>
    <n v="18"/>
  </r>
  <r>
    <s v="351482464340"/>
    <s v="05AAJFB5728K1ZA / Blize Printers 2022-23"/>
    <s v="05AAECM6380J1ZA / M.R. HEALTHCARE PVT. LTD."/>
    <s v="BHAGWANPUR / 247661"/>
    <s v="RAMNAGAR / 244715"/>
    <s v="351482464340 - 12/08/2022 23:18:00"/>
    <s v="BP/22-23/1547"/>
    <d v="2022-08-12T00:00:00"/>
    <n v="60925.88"/>
    <n v="10966.64"/>
    <x v="8"/>
    <s v="Carton"/>
    <s v="UK18CA4767"/>
    <n v="17.999969799369332"/>
  </r>
  <r>
    <s v="321482196671"/>
    <s v="02AKAPC8938R1ZU / COAT AND COAT PHARMACARE"/>
    <s v="05AAECM6380J1ZA / M/S M R HealthCare Pvt. Ltd."/>
    <s v="Solan / 173205"/>
    <s v="RAMNAGAR / 244715"/>
    <s v="321482196671 - 12/08/2022 15:31:00"/>
    <n v="643"/>
    <d v="2022-08-10T00:00:00"/>
    <n v="145000"/>
    <n v="26100"/>
    <x v="46"/>
    <s v="TABLET COATING MATERIAL"/>
    <s v="UK06CB8289"/>
    <n v="18"/>
  </r>
  <r>
    <s v="321481717936"/>
    <s v="05ABAPK2139D1ZB / MOHIT TRADERS(22-23)"/>
    <s v="05AAECM6380J1ZA / M R HEALTHCARE PVT LTD"/>
    <s v="KHURJA / 203129"/>
    <s v="KASHIPUR / 244715"/>
    <s v="321481717936 - 10/08/2022 11:05:00"/>
    <s v="MT/01183/22-23"/>
    <d v="2022-08-09T00:00:00"/>
    <n v="172000"/>
    <n v="8600"/>
    <x v="15"/>
    <s v="Sugar"/>
    <s v="UP13T9977"/>
    <n v="5"/>
  </r>
  <r>
    <s v="331481431550"/>
    <s v="05AABCA8568R1ZZ / ABS Mercantiles Pvt. Ltd."/>
    <s v="05AAECM6380J1ZA / M.R. HEALTHCARE PVT. LTD."/>
    <s v="UTTARAKHAND / 247667"/>
    <s v="Ram Nagar / 244715"/>
    <s v="331481431550 - 09/08/2022 23:28:00"/>
    <s v="ABSR/22-23/0310"/>
    <d v="2022-08-09T00:00:00"/>
    <n v="124999.6"/>
    <n v="22500"/>
    <x v="86"/>
    <s v="Rabeprazole EC 20 mg + Levosulpiride SR 75 mg Pellets"/>
    <s v="UK17CA4322"/>
    <n v="18.00005760018432"/>
  </r>
  <r>
    <s v="371481255808"/>
    <s v="05AAJFB5728K1ZA / Blize Printers 2022-23"/>
    <s v="05AAECM6380J1ZA / M.R. HEALTHCARE PVT. LTD."/>
    <s v="BHAGWANPUR / 247661"/>
    <s v="RAMNAGAR / 244715"/>
    <s v="371481255808 - 09/08/2022 23:28:00"/>
    <s v="BP/22-23/1517"/>
    <d v="2022-08-09T00:00:00"/>
    <n v="24287.200000000001"/>
    <n v="4371.7"/>
    <x v="8"/>
    <s v="Carton"/>
    <s v="UK17CA4322"/>
    <n v="18.000016469580682"/>
  </r>
  <r>
    <s v="301479888293"/>
    <s v="06AYEPS2518M1Z4 / FORTUNE SOURCING"/>
    <s v="05AAECM6380J1ZA / M/S M R HealthCare Pvt. Ltd."/>
    <s v="Gurugram / 122001"/>
    <s v="RAMNAGAR / 244715"/>
    <s v="301479888293 - 09/08/2022 22:58:00"/>
    <s v="FS/0124/2022-23"/>
    <d v="2022-08-05T00:00:00"/>
    <n v="21000"/>
    <n v="3780"/>
    <x v="10"/>
    <s v="LAMI TUBE"/>
    <s v="UK06CA5513"/>
    <n v="18"/>
  </r>
  <r>
    <s v="321481220319"/>
    <s v="05ABDFR7819N1ZO / M/s R K Packwel Industries"/>
    <s v="05AAECM6380J1ZA / MR Healthcare Pvt. Ltd."/>
    <s v="Sitarganj / 262405"/>
    <s v="Ramnagar / 244715"/>
    <s v="321481220319 - 09/08/2022 09:52:00"/>
    <s v="RKP/22-23/185"/>
    <d v="2022-08-09T00:00:00"/>
    <n v="174332.4"/>
    <n v="31379.84"/>
    <x v="79"/>
    <s v="Polythene Sheets &amp; Bag"/>
    <s v="UK06CB3424"/>
    <n v="18.000004588934701"/>
  </r>
  <r>
    <s v="391481021007"/>
    <s v="05AASFR5565R1Z4 / M/S ROORKEE FOIL"/>
    <s v="05AAECM6380J1ZA / M/S M R HealthCare Pvt. Ltd."/>
    <s v="Haridwar / 247667"/>
    <s v="RAMNAGAR / 244715"/>
    <s v="391481021007 - 08/08/2022 23:24:00"/>
    <s v="RK/22-23/0982"/>
    <d v="2022-08-08T00:00:00"/>
    <n v="91154.5"/>
    <n v="16407.8"/>
    <x v="20"/>
    <s v="BLISTER FOIL PRINTED"/>
    <s v="UK18CA4303"/>
    <n v="17.999989029614557"/>
  </r>
  <r>
    <s v="371480265952"/>
    <s v="05ANTPS9188H1Z0 / G K PHARMA"/>
    <s v="05AAECM6380J1ZA / MR HEALTHCARE PVT LTD"/>
    <s v="ROORKEE / 247667"/>
    <s v="RAMNAGAR / 244715"/>
    <s v="371480265952 - 06/08/2022 23:12:00"/>
    <s v="GKUK/0608/22-23"/>
    <d v="2022-08-06T00:00:00"/>
    <n v="76470"/>
    <n v="13764.6"/>
    <x v="57"/>
    <m/>
    <s v="UK18CA4767"/>
    <n v="18"/>
  </r>
  <r>
    <s v="361480471329"/>
    <s v="05ABNFA2675D1ZK / AURA PACKAGING"/>
    <s v="05AAECM6380J1ZA / M/S M R HealthCare Pvt. Ltd."/>
    <s v="Udham Singh Nagar / 263153"/>
    <s v="RAMNAGAR / 244715"/>
    <s v="361480471329 - 06/08/2022 18:47:00"/>
    <s v="AP/2022-23/00288"/>
    <d v="2022-08-06T00:00:00"/>
    <n v="44612.95"/>
    <n v="8030.34"/>
    <x v="23"/>
    <m/>
    <s v="UK06CB7086"/>
    <n v="18.000020173514642"/>
  </r>
  <r>
    <s v="301480453556"/>
    <s v="05ABSFA7387F1Z0 / AASTHA MEDI SOLUTIONS"/>
    <s v="05AAECM6380J1ZA / M/S M R HealthCare Pvt. Ltd."/>
    <s v="Haridwar / 247667"/>
    <s v="RAMNAGAR / 244715"/>
    <s v="301480453556 - 06/08/2022 18:17:00"/>
    <n v="476"/>
    <d v="2022-08-06T00:00:00"/>
    <n v="8800"/>
    <n v="1584"/>
    <x v="11"/>
    <s v="PRINTED ROLLER"/>
    <s v="UK17CA4358"/>
    <n v="18"/>
  </r>
  <r>
    <s v="391480450637"/>
    <s v="05ABSFA7387F1Z0 / AASTHA MEDI SOLUTIONS"/>
    <s v="05AAECM6380J1ZA / M/S M R HealthCare Pvt. Ltd."/>
    <s v="Haridwar / 247667"/>
    <s v="RAMNAGAR / 244715"/>
    <s v="391480450637 - 06/08/2022 18:13:00"/>
    <n v="475"/>
    <d v="2022-08-06T00:00:00"/>
    <n v="81339.5"/>
    <n v="14641.12"/>
    <x v="14"/>
    <s v="PRINTED ALUMINUM FOIL"/>
    <s v="UK18CA4767"/>
    <n v="18.00001229414983"/>
  </r>
  <r>
    <s v="371480392292"/>
    <s v="05HVVPS7064F1ZS / QUANTUM PHARMA CHEM"/>
    <s v="05AAECM6380J1ZA / M/S M R HealthCare Pvt. Ltd."/>
    <s v="Haridwar / 247667"/>
    <s v="RAMNAGAR / 244715"/>
    <s v="371480392292 - 06/08/2022 16:52:00"/>
    <n v="298"/>
    <d v="2022-08-06T00:00:00"/>
    <n v="155000"/>
    <n v="27900"/>
    <x v="25"/>
    <m/>
    <s v="UK06CB5953"/>
    <n v="18"/>
  </r>
  <r>
    <s v="321480256191"/>
    <s v="06AABCF5740N1ZG / Alutech Packaging Private Limited"/>
    <s v="05AAECM6380J1ZA / M R HEALTHCARE PVT LTD"/>
    <s v="Bahadurgarh / 124507"/>
    <s v="NANITAL / 244715"/>
    <s v="321480256191 - 06/08/2022 12:59:00"/>
    <s v="APPL/22-23/2747"/>
    <d v="2022-08-06T00:00:00"/>
    <n v="277849.59999999998"/>
    <n v="50012.93"/>
    <x v="14"/>
    <s v="Aluminium Foil"/>
    <m/>
    <n v="18.000000719813887"/>
  </r>
  <r>
    <s v="371479896664"/>
    <s v="02AAJFT0869K1ZY / TRADEX INDIA"/>
    <s v="05AAECM6380J1ZA / M/S M R HealthCare Pvt. Ltd."/>
    <s v="Sirmaur / 173030"/>
    <s v="RAMNAGAR / 244715"/>
    <s v="371479896664 - 05/08/2022 21:51:00"/>
    <s v="TI-307"/>
    <d v="2022-08-05T00:00:00"/>
    <n v="330330"/>
    <n v="59459.4"/>
    <x v="57"/>
    <s v="PHARMA PELLETS"/>
    <s v="UK06CB8289"/>
    <n v="18"/>
  </r>
  <r>
    <s v="391478963981"/>
    <s v="05ALGPC9789H1ZQ / OM PHARMACEUTICALS"/>
    <s v="05AAECM6380J1ZA / M/S M R HealthCare Pvt. Ltd."/>
    <s v="Haridwar / 249402"/>
    <s v="RAMNAGAR / 244715"/>
    <s v="391478963981 - 05/08/2022 20:06:00"/>
    <s v="OP/00165/2022-23"/>
    <d v="2022-08-03T00:00:00"/>
    <n v="116690"/>
    <n v="21004.2"/>
    <x v="94"/>
    <s v="PROPYLENE GLYCOL IP"/>
    <s v="UK18CA3698"/>
    <n v="18"/>
  </r>
  <r>
    <s v="351479281369"/>
    <s v="06AABCF5740N1ZG / Alutech Packaging Private Limited"/>
    <s v="05AAECM6380J1ZA / M R HEALTHCARE PVT LTD"/>
    <s v="Bahadurgarh / 124507"/>
    <s v="NANITAL / 244715"/>
    <s v="351479281369 - 04/08/2022 10:59:00"/>
    <s v="APPL/22-23/2686"/>
    <d v="2022-08-04T00:00:00"/>
    <n v="769833.12"/>
    <n v="138569.96"/>
    <x v="14"/>
    <s v="Aluminium Foil"/>
    <m/>
    <n v="17.999999792162747"/>
  </r>
  <r>
    <s v="381478654970"/>
    <s v="05ABNPA6018N2ZK / Manish Pharma"/>
    <s v="05AAECM6380J1ZA / MR HEALTHCARE PVT LTD"/>
    <s v="ROORKEE / 247667"/>
    <s v="KOSI ROAD,RAMNAGAR / 244715"/>
    <s v="381478654970 - 03/08/2022 18:36:00"/>
    <s v="MPR/22-23/1597"/>
    <d v="2022-08-02T00:00:00"/>
    <n v="70035"/>
    <n v="12606.3"/>
    <x v="33"/>
    <s v="ENROFLOXACIN BASE IP"/>
    <s v="UK06CA9936"/>
    <n v="18"/>
  </r>
  <r>
    <s v="341478551736"/>
    <s v="05AAJFG0319D1ZZ / M/S GANESH METAL INDUSTRIES"/>
    <s v="05AAECM6380J1ZA / M/S M R HealthCare Pvt. Ltd."/>
    <s v="Haridwar / 247667"/>
    <s v="RAMNAGAR / 244715"/>
    <s v="341478551736 - 03/08/2022 00:31:00"/>
    <s v="GMI/22-23/0409"/>
    <d v="2022-08-02T00:00:00"/>
    <n v="27000"/>
    <n v="4860"/>
    <x v="80"/>
    <s v="PLAIN SILVER 25MM"/>
    <s v="UK17CA4358"/>
    <n v="18"/>
  </r>
  <r>
    <s v="381478622159"/>
    <s v="05AAJFB5728K1ZA / Blize Printers 2022-23"/>
    <s v="05AAECM6380J1ZA / M.R. HEALTHCARE PVT. LTD."/>
    <s v="BHAGWANPUR / 247661"/>
    <s v="RAMNAGAR / 244715"/>
    <s v="381478622159 - 03/08/2022 00:31:00"/>
    <s v="BP/22-23/1444"/>
    <d v="2022-08-02T00:00:00"/>
    <n v="54959"/>
    <n v="9892.6200000000008"/>
    <x v="8"/>
    <s v="Carton"/>
    <s v="UK18CA4767"/>
    <n v="18.000000000000004"/>
  </r>
  <r>
    <s v="361478021222"/>
    <s v="05ALGPC9789H1ZQ / OM PHARMACEUTICALS"/>
    <s v="05AAECM6380J1ZA / M/S M R HealthCare Pvt. Ltd."/>
    <s v="Haridwar / 249402"/>
    <s v="RAMNAGAR / 244715"/>
    <s v="361478021222 - 01/08/2022 20:28:00"/>
    <s v="OP/00159/2022-23"/>
    <d v="2022-08-01T00:00:00"/>
    <n v="117900"/>
    <n v="21222"/>
    <x v="26"/>
    <s v="CROSS POVIDONE XL10"/>
    <s v="UK18CA3698"/>
    <n v="18"/>
  </r>
  <r>
    <s v="481269880374"/>
    <s v="09AVWPT8411D1Z0 / MEDZY PHARMACEUTICAL"/>
    <s v="05AAECM6380J1ZA / M/S M R HealthCare Pvt. Ltd."/>
    <s v="/ 263153"/>
    <s v="RAMNAGAR / 244715"/>
    <s v="481269880374 - 09/08/2022 13:11:00"/>
    <n v="21"/>
    <d v="2022-08-09T00:00:00"/>
    <n v="75000"/>
    <n v="13500"/>
    <x v="51"/>
    <m/>
    <s v="UK06CB2817"/>
    <n v="18"/>
  </r>
  <r>
    <s v="471270270347"/>
    <s v="09AAECK5104G1ZR / M/S KUNJILAL FOODS PRIVATE LIMITED"/>
    <s v="05AAECM6380J1ZA / M/S M R HealthCare Pvt. Ltd."/>
    <s v="Aligarh / 202001"/>
    <s v="RAMNAGAR / 244715"/>
    <s v="471270270347 - 10/08/2022 21:56:00"/>
    <s v="VN55122"/>
    <d v="2022-08-10T00:00:00"/>
    <n v="464285.71"/>
    <n v="23214.29"/>
    <x v="123"/>
    <s v="sweets namkeen other Perparation"/>
    <s v="UP81CT1282"/>
    <n v="5.0000009692307783"/>
  </r>
  <r>
    <s v="411270715668"/>
    <s v="09AHJPG5662N1ZR / M/S NAMAN ENTERPRISES"/>
    <s v="05AAECM6380J1ZA / M/S M R HealthCare Pvt. Ltd."/>
    <s v="Bareilly / 243006"/>
    <s v="RAMNAGAR / 244715"/>
    <s v="411270715668 - 13/08/2022 18:10:00"/>
    <n v="51"/>
    <d v="2022-08-13T00:00:00"/>
    <n v="162794.1"/>
    <n v="29302.94"/>
    <x v="124"/>
    <s v="WIRE"/>
    <s v="UP25AT7673"/>
    <n v="18.000001228545752"/>
  </r>
  <r>
    <s v="461270995702"/>
    <s v="09BGUPK3260M1ZP / SHRI ENTERPRISES"/>
    <s v="05AAECM6380J1ZA / M R HEALTHCARE PVT LTD"/>
    <s v="SAHARANPUR / 247001"/>
    <s v="/ 244715"/>
    <s v="461270995702 - 16/08/2022 23:30:00"/>
    <n v="115"/>
    <d v="2022-08-16T00:00:00"/>
    <n v="79545.3"/>
    <n v="14318.15"/>
    <x v="21"/>
    <s v="PAPER"/>
    <s v="UK17CA4306"/>
    <n v="17.999994971418801"/>
  </r>
  <r>
    <s v="471273404055"/>
    <s v="09BGUPK3260M1ZP / SHRI ENTERPRISES"/>
    <s v="05AAECM6380J1ZA / M R HEALTHCARE PVT LTD"/>
    <s v="SAHARANPUR / 247001"/>
    <s v="/ 244715"/>
    <s v="471273404055 - 26/08/2022 23:33:00"/>
    <n v="120"/>
    <d v="2022-08-26T00:00:00"/>
    <n v="105019.05"/>
    <n v="18903.43"/>
    <x v="21"/>
    <s v="PAPER"/>
    <s v="UK17CA1878"/>
    <n v="18.000000952208193"/>
  </r>
  <r>
    <s v="601454994822"/>
    <s v="26AAACA3345D1Z8 / Amisha Vinyls Pvt. Ltd."/>
    <s v="05AAECM6380J1ZA / M.R.HEALTHCARE PVT.LTD."/>
    <s v="Daman / 396210"/>
    <s v="NAINITAL / 244715"/>
    <s v="601454994822 - 23/08/2022 14:30:00"/>
    <n v="1976"/>
    <d v="2022-08-23T00:00:00"/>
    <n v="219883.68"/>
    <m/>
    <x v="12"/>
    <s v="Pharma grade - 01 - Blue colour - 0.25mm Thick - 208mm Width - Paper Core 9 - BOX - WL"/>
    <s v="UP21CT2509"/>
    <n v="0"/>
  </r>
  <r>
    <s v="631450999747"/>
    <s v="24AAACU6175D1ZI / UNNATI PHARMACEUTICALS PVT LTD"/>
    <s v="05AAECM6380J1ZA / M R HEALTHCARE PVT LTD"/>
    <s v="VADODARA / 391740"/>
    <s v="RAMNAGAR / 244715"/>
    <s v="631450999747 - 13/08/2022 12:54:00"/>
    <s v="BARO000156"/>
    <d v="2022-08-10T00:00:00"/>
    <n v="245269.5"/>
    <n v="44148.51"/>
    <x v="91"/>
    <s v="CROSS CARMELLOSE SODIUM USP"/>
    <m/>
    <n v="18"/>
  </r>
  <r>
    <s v="651447539268"/>
    <s v="24AABFC0922C1ZC / COREL PHARMA CHEM"/>
    <s v="05AAECM6380J1ZA / M. R. Healthcare Private Limited"/>
    <s v="Mehsana / 382715"/>
    <s v="Nainital / 244715"/>
    <s v="651447539268 - 01/08/2022 21:48:00"/>
    <s v="INV/22-23/03242"/>
    <d v="2022-08-01T00:00:00"/>
    <n v="5375"/>
    <n v="967.5"/>
    <x v="98"/>
    <s v="Colorcoat EC4S-C (White) (5 Kg)"/>
    <m/>
    <n v="18"/>
  </r>
  <r>
    <s v="671453599872"/>
    <s v="26AAACA3345D1Z8 / Amisha Vinyls Pvt. Ltd."/>
    <s v="05AAECM6380J1ZA / M.R.HEALTHCARE PVT.LTD."/>
    <s v="Daman / 396210"/>
    <s v="NAINITAL / 244715"/>
    <s v="671453599872 - 18/08/2022 17:27:00"/>
    <n v="1914"/>
    <d v="2022-08-18T00:00:00"/>
    <n v="566013.1"/>
    <m/>
    <x v="12"/>
    <s v="Pharma grade - 01 - Blue Tone - 0.25mm Thick - 158mm Width - Paper Core 9 - BOX - WL"/>
    <s v="UP21CT5765"/>
    <n v="0"/>
  </r>
  <r>
    <s v="681447537795"/>
    <s v="24AABFC0922C1ZC / COREL PHARMA CHEM"/>
    <s v="05AAECM6380J1ZA / M. R. Healthcare Private Limited"/>
    <s v="Mehsana / 382715"/>
    <s v="Nainital / 244715"/>
    <s v="681447537795 - 01/08/2022 21:48:00"/>
    <s v="INV/22-23/03241"/>
    <d v="2022-08-01T00:00:00"/>
    <n v="40000"/>
    <n v="7200"/>
    <x v="54"/>
    <s v="Colorcoat Pearl (Gold) (5 Kg)"/>
    <m/>
    <n v="18"/>
  </r>
  <r>
    <s v="631452011531"/>
    <s v="24AEGPS6371A1ZN / PARAM PHARMA CHEM"/>
    <s v="05AAECM6380J1ZA / M.R. Healthcare Pvt. Ltd."/>
    <s v="Satellite / 380015"/>
    <s v="Nanital / 244715"/>
    <s v="631452011531 - 13/08/2022 15:44:00"/>
    <s v="2223-016"/>
    <d v="2022-08-13T00:00:00"/>
    <n v="55000"/>
    <n v="9900"/>
    <x v="90"/>
    <s v="Furazolidone IP"/>
    <s v="UK12CB0926"/>
    <n v="18"/>
  </r>
  <r>
    <s v="601454994822"/>
    <s v="26AAACA3345D1Z8 / Amisha Vinyls Pvt. Ltd."/>
    <s v="05AAECM6380J1ZA / M.R.HEALTHCARE PVT.LTD."/>
    <s v="Daman / 396210"/>
    <s v="NAINITAL / 244715"/>
    <s v="601454994822 - 23/08/2022 14:30:00"/>
    <n v="1976"/>
    <d v="2022-08-23T00:00:00"/>
    <n v="219883.68"/>
    <m/>
    <x v="12"/>
    <s v="Pharma grade - 01 - Blue colour - 0.25mm Thick - 208mm Width - Paper Core 9 - BOX - WL"/>
    <s v="UP21CT2509"/>
    <n v="0"/>
  </r>
  <r>
    <s v="631450999747"/>
    <s v="24AAACU6175D1ZI / UNNATI PHARMACEUTICALS PVT LTD"/>
    <s v="05AAECM6380J1ZA / M R HEALTHCARE PVT LTD"/>
    <s v="VADODARA / 391740"/>
    <s v="RAMNAGAR / 244715"/>
    <s v="631450999747 - 13/08/2022 12:54:00"/>
    <s v="BARO000156"/>
    <d v="2022-08-10T00:00:00"/>
    <n v="245269.5"/>
    <n v="44148.51"/>
    <x v="91"/>
    <s v="CROSS CARMELLOSE SODIUM USP"/>
    <m/>
    <n v="18"/>
  </r>
  <r>
    <s v="651447539268"/>
    <s v="24AABFC0922C1ZC / COREL PHARMA CHEM"/>
    <s v="05AAECM6380J1ZA / M. R. Healthcare Private Limited"/>
    <s v="Mehsana / 382715"/>
    <s v="Nainital / 244715"/>
    <s v="651447539268 - 01/08/2022 21:48:00"/>
    <s v="INV/22-23/03242"/>
    <d v="2022-08-01T00:00:00"/>
    <n v="5375"/>
    <n v="967.5"/>
    <x v="98"/>
    <s v="Colorcoat EC4S-C (White) (5 Kg)"/>
    <m/>
    <n v="18"/>
  </r>
  <r>
    <s v="671453599872"/>
    <s v="26AAACA3345D1Z8 / Amisha Vinyls Pvt. Ltd."/>
    <s v="05AAECM6380J1ZA / M.R.HEALTHCARE PVT.LTD."/>
    <s v="Daman / 396210"/>
    <s v="NAINITAL / 244715"/>
    <s v="671453599872 - 18/08/2022 17:27:00"/>
    <n v="1914"/>
    <d v="2022-08-18T00:00:00"/>
    <n v="566013.1"/>
    <m/>
    <x v="12"/>
    <s v="Pharma grade - 01 - Blue Tone - 0.25mm Thick - 158mm Width - Paper Core 9 - BOX - WL"/>
    <s v="UP21CT5765"/>
    <n v="0"/>
  </r>
  <r>
    <s v="681447537795"/>
    <s v="24AABFC0922C1ZC / COREL PHARMA CHEM"/>
    <s v="05AAECM6380J1ZA / M. R. Healthcare Private Limited"/>
    <s v="Mehsana / 382715"/>
    <s v="Nainital / 244715"/>
    <s v="681447537795 - 01/08/2022 21:48:00"/>
    <s v="INV/22-23/03241"/>
    <d v="2022-08-01T00:00:00"/>
    <n v="40000"/>
    <n v="7200"/>
    <x v="54"/>
    <s v="Colorcoat Pearl (Gold) (5 Kg)"/>
    <m/>
    <n v="18"/>
  </r>
  <r>
    <s v="631452011531"/>
    <s v="24AEGPS6371A1ZN / PARAM PHARMA CHEM"/>
    <s v="05AAECM6380J1ZA / M.R. Healthcare Pvt. Ltd."/>
    <s v="Satellite / 380015"/>
    <s v="Nanital / 244715"/>
    <s v="631452011531 - 13/08/2022 15:44:00"/>
    <s v="2223-016"/>
    <d v="2022-08-13T00:00:00"/>
    <n v="55000"/>
    <n v="9900"/>
    <x v="90"/>
    <s v="Furazolidone IP"/>
    <s v="UK12CB0926"/>
    <n v="18"/>
  </r>
  <r>
    <s v="781275759812"/>
    <s v="07AAACR6057R1ZR / ROHAN PHARMA PVT LTD"/>
    <s v="05AAECM6380J1ZA / MRHEALTHCARE PVT LTD"/>
    <s v="DELHI / 110039"/>
    <s v="RAM NAGAR / 244715"/>
    <s v="781275759812 - 08/08/2022 21:39:00"/>
    <s v="RPPL/1720/22-23"/>
    <d v="2022-08-04T00:00:00"/>
    <n v="104000"/>
    <n v="18720"/>
    <x v="5"/>
    <m/>
    <s v="UK18CA4303"/>
    <n v="18"/>
  </r>
  <r>
    <s v="761275396163"/>
    <s v="07ABECS4075R1ZM / SAMCHEM INDIA PRIVATE LIMITED"/>
    <s v="05AAECM6380J1ZA / M/S M R HealthCare Pvt. Ltd."/>
    <s v="New Delhi / 110015"/>
    <s v="RAMNAGAR / 244715"/>
    <s v="761275396163 - 03/08/2022 20:19:00"/>
    <s v="SIPL/22-23/1158"/>
    <d v="2022-08-03T00:00:00"/>
    <n v="77867"/>
    <n v="14016.06"/>
    <x v="34"/>
    <s v="RAW MATERIAL"/>
    <s v="HR38AA4437"/>
    <n v="18"/>
  </r>
  <r>
    <s v="791275982284"/>
    <s v="07AAGFL4546C1ZI / LAXMI PRINT N PACK"/>
    <s v="05AAECM6380J1ZA / M/S M R HealthCare Pvt. Ltd."/>
    <s v="New Delhi / 110028"/>
    <s v="RAMNAGAR / 244715"/>
    <s v="791275982284 - 06/08/2022 20:27:00"/>
    <s v="2022-2023/378"/>
    <d v="2022-08-05T00:00:00"/>
    <n v="72952"/>
    <n v="0"/>
    <x v="23"/>
    <s v="BOX"/>
    <s v="UK18CA4767"/>
    <n v="0"/>
  </r>
  <r>
    <s v="761280011321"/>
    <s v="07AAACR6057R1ZR / ROHAN PHARMA PVT LTD"/>
    <s v="05AAECM6380J1ZA / MRHEALTHCARE PVT LTD"/>
    <s v="DELHI / 110039"/>
    <s v="RAM NAGAR / 244715"/>
    <s v="761280011321 - 27/08/2022 21:41:00"/>
    <s v="RPPL/2070/22-23"/>
    <d v="2022-08-26T00:00:00"/>
    <n v="68400"/>
    <n v="12312"/>
    <x v="1"/>
    <m/>
    <s v="UK06CB5759"/>
    <n v="18"/>
  </r>
  <r>
    <s v="721278197066"/>
    <s v="07AWMPG2245H1ZL / RAINBOW PHARMA AGENCIES"/>
    <s v="05AAECM6380J1ZA / M.R.HEALTHCARE PVT. LTD. - Uttarakhand"/>
    <s v="Delhi / 110040"/>
    <s v="Uttrakhand / 244715"/>
    <s v="721278197066 - 18/08/2022 13:05:00"/>
    <s v="2022-23/0421"/>
    <d v="2022-08-18T00:00:00"/>
    <n v="966500"/>
    <n v="173970"/>
    <x v="19"/>
    <s v="Paracetamol IP"/>
    <s v="UK18CA6361"/>
    <n v="18"/>
  </r>
  <r>
    <s v="761277259554"/>
    <s v="08AGTPB5912H1ZA / ONS PHARMACEUTICAL"/>
    <s v="05AAECM6380J1ZA / M/S M R HealthCare Pvt. Ltd."/>
    <s v="Jaipur / 302003"/>
    <s v="RAMNAGAR / 244715"/>
    <s v="761277259554 - 12/08/2022 22:04:00"/>
    <s v="22-23/001191"/>
    <d v="2022-08-12T00:00:00"/>
    <n v="144272.1"/>
    <n v="25968.98"/>
    <x v="125"/>
    <m/>
    <s v="HR38AA4437"/>
    <n v="18.000001386269417"/>
  </r>
  <r>
    <s v="721276952722"/>
    <s v="07AAACR6057R1ZR / ROHAN PHARMA PVT LTD"/>
    <s v="05AAECM6380J1ZA / MRHEALTHCARE PVT LTD"/>
    <s v="DELHI / 110039"/>
    <s v="RAM NAGAR / 244715"/>
    <s v="721276952722 - 11/08/2022 21:51:00"/>
    <s v="RPPL/1842/22-23"/>
    <d v="2022-08-10T00:00:00"/>
    <n v="232000"/>
    <n v="41760"/>
    <x v="5"/>
    <m/>
    <s v="UK18CA6361"/>
    <n v="18"/>
  </r>
  <r>
    <s v="741275159528"/>
    <s v="07ABECS4075R1ZM / SAMCHEM INDIA PRIVATE LIMITED"/>
    <s v="05AAECM6380J1ZA / M/S M R HealthCare Pvt. Ltd."/>
    <s v="New Delhi / 110015"/>
    <s v="RAMNAGAR / 244715"/>
    <s v="741275159528 - 02/08/2022 20:55:00"/>
    <s v="SIPL/22-23/1142"/>
    <d v="2022-08-02T00:00:00"/>
    <n v="79669"/>
    <n v="14340.42"/>
    <x v="126"/>
    <s v="RAW MATERIAL"/>
    <s v="DL01LAC2874"/>
    <n v="18"/>
  </r>
  <r>
    <s v="771281120070"/>
    <s v="07AAACR6057R1ZR / ROHAN PHARMA PVT LTD"/>
    <s v="05AAECM6380J1ZA / MRHEALTHCARE PVT LTD"/>
    <s v="DELHI / 110039"/>
    <s v="RAM NAGAR / 244715"/>
    <s v="771281120070 - 31/08/2022 22:19:00"/>
    <s v="RPPL/2144/22-23"/>
    <d v="2022-08-31T00:00:00"/>
    <n v="117625"/>
    <n v="21172.5"/>
    <x v="5"/>
    <m/>
    <s v="UK18CA4773"/>
    <n v="18"/>
  </r>
  <r>
    <s v="701279633518"/>
    <s v="07AZSPK2293G1ZZ / ROHIT ELECTRICALS"/>
    <s v="05AAECM6380J1ZA / M/S M R HealthCare Pvt. Ltd."/>
    <s v="BHAGIRATH PALACE , CHANDNI CHOWK / 110006"/>
    <s v="RAMNAGAR / 244715"/>
    <s v="701279633518 - 25/08/2022 03:05:00"/>
    <s v="RE-385/22-23"/>
    <d v="2022-08-23T00:00:00"/>
    <n v="42180"/>
    <n v="7592"/>
    <x v="127"/>
    <m/>
    <s v="HR55W9244"/>
    <n v="17.999051683262209"/>
  </r>
  <r>
    <s v="741278294165"/>
    <s v="07AAGFL4546C1ZI / LAXMI PRINT N PACK"/>
    <s v="05AAECM6380J1ZA / M/S M R HealthCare Pvt. Ltd."/>
    <s v="New Delhi / 110028"/>
    <s v="RAMNAGAR / 244715"/>
    <s v="741278294165 - 20/08/2022 22:02:00"/>
    <s v="2022-2023/415"/>
    <d v="2022-08-18T00:00:00"/>
    <n v="70764"/>
    <n v="0"/>
    <x v="23"/>
    <s v="BOX"/>
    <s v="UK06CB5759"/>
    <n v="0"/>
  </r>
  <r>
    <s v="701278323748"/>
    <s v="07AARFV8827D1ZN / VAISHNO PRINT PACKAGING"/>
    <s v="05AAECM6380J1ZA / M/S M R HealthCare Pvt. Ltd."/>
    <s v="New Delhi / 110005"/>
    <s v="RAMNAGAR / 244715"/>
    <s v="701278323748 - 18/08/2022 22:42:00"/>
    <s v="2022-23/0192"/>
    <d v="2022-08-18T00:00:00"/>
    <n v="65775.350000000006"/>
    <n v="11839.56"/>
    <x v="47"/>
    <s v="ALUMINIUM FOIL"/>
    <s v="UK18CA4773"/>
    <n v="17.999995439020847"/>
  </r>
  <r>
    <s v="741277797876"/>
    <s v="08AACCA7721R1Z7 / ALKA LABORATORIES PVT LTD"/>
    <s v="05AAECM6380J1ZA / M R HEALTHCARE PVT LTD"/>
    <s v="BHIWADI / 301019"/>
    <s v="Ramnagar / 244715"/>
    <s v="741277797876 - 16/08/2022 17:08:00"/>
    <s v="ALPL22230494"/>
    <d v="2022-08-16T00:00:00"/>
    <n v="220000"/>
    <n v="39600"/>
    <x v="1"/>
    <m/>
    <s v="UK08CA9855"/>
    <n v="18"/>
  </r>
  <r>
    <s v="771277211391"/>
    <s v="07AAACR6057R1ZR / ROHAN PHARMA PVT LTD"/>
    <s v="05AAECM6380J1ZA / MRHEALTHCARE PVT LTD"/>
    <s v="DELHI / 110039"/>
    <s v="RAM NAGAR / 244715"/>
    <s v="771277211391 - 14/08/2022 01:03:00"/>
    <s v="RPPL/1860/22-23"/>
    <d v="2022-08-12T00:00:00"/>
    <n v="60375"/>
    <n v="10867.5"/>
    <x v="5"/>
    <m/>
    <s v="UK18TA0659"/>
    <n v="18"/>
  </r>
  <r>
    <s v="701288479594"/>
    <s v="08AAACD2877R1ZZ / DHANUKA LABORATORIES LIMITED"/>
    <s v="05AAECM6380J1ZA / M/S M R HealthCare Pvt. Ltd."/>
    <s v="Jaipur / 303108"/>
    <s v="RAMNAGAR / 244715"/>
    <s v="701288479594 - 30/09/2022 15:29:00"/>
    <s v="SI/KD/2223/0422"/>
    <d v="2022-09-30T00:00:00"/>
    <n v="500000"/>
    <n v="90000"/>
    <x v="1"/>
    <s v="CITICOLINE SODIUM IP"/>
    <m/>
    <n v="18"/>
  </r>
  <r>
    <s v="731287317674"/>
    <s v="08AGTPB5912H1ZA / ONS PHARMACEUTICAL"/>
    <s v="05AAECM6380J1ZA / M/S M R HealthCare Pvt. Ltd."/>
    <s v="Jaipur / 302003"/>
    <s v="RAMNAGAR / 244715"/>
    <s v="731287317674 - 29/09/2022 22:30:00"/>
    <s v="22-23/001612"/>
    <d v="2022-09-26T00:00:00"/>
    <n v="262131"/>
    <n v="47183.58"/>
    <x v="29"/>
    <m/>
    <s v="UK18TA1004"/>
    <n v="18"/>
  </r>
  <r>
    <s v="781288206785"/>
    <s v="07ABWPB1401F1Z3 / BHARAT PHARMA"/>
    <s v="05AAECM6380J1ZA / MR HEALTHCARE PVT LTD"/>
    <s v="DELHI / 110042"/>
    <s v="UTTARAKHAND / 244715"/>
    <s v="781288206785 - 29/09/2022 21:24:00"/>
    <s v="BPG/22-23/1661"/>
    <d v="2022-09-29T00:00:00"/>
    <n v="1715857.5"/>
    <n v="308854.34999999998"/>
    <x v="33"/>
    <s v="AZITHROMYCIN IP/USP 42 -WEIQIDA"/>
    <s v="UK18CA5709"/>
    <n v="17.999999999999996"/>
  </r>
  <r>
    <s v="771286846650"/>
    <s v="07AAACR6057R1ZR / ROHAN PHARMA PVT LTD"/>
    <s v="05AAECM6380J1ZA / MRHEALTHCARE PVT LTD"/>
    <s v="DELHI / 110039"/>
    <s v="RAM NAGAR / 244715"/>
    <s v="771286846650 - 26/09/2022 22:00:00"/>
    <s v="RPPL/2526/22-23"/>
    <d v="2022-09-24T00:00:00"/>
    <n v="172000"/>
    <n v="30960"/>
    <x v="1"/>
    <m/>
    <s v="UK18CA6361"/>
    <n v="18"/>
  </r>
  <r>
    <s v="751283917375"/>
    <s v="07AAACR6057R1ZR / ROHAN PHARMA PVT LTD"/>
    <s v="05AAECM6380J1ZA / MRHEALTHCARE PVT LTD"/>
    <s v="DELHI / 110039"/>
    <s v="RAM NAGAR / 244715"/>
    <s v="751283917375 - 14/09/2022 21:38:00"/>
    <s v="RPPL/2350/22-23"/>
    <d v="2022-09-13T00:00:00"/>
    <n v="51975"/>
    <n v="9355.5"/>
    <x v="5"/>
    <m/>
    <s v="UK18CA4303"/>
    <n v="18"/>
  </r>
  <r>
    <s v="701283073263"/>
    <s v="07AAACA6462D1Z0 / Alben Chemicals Pvt. Ltd."/>
    <s v="05AAECM6380J1ZA / M.R. HEALTHCARE PVT. LTD."/>
    <s v="Delhi / 110008"/>
    <s v="UTTRAKHAND / 244715"/>
    <s v="701283073263 - 09/09/2022 21:07:00"/>
    <s v="ACPL/22-23/1803"/>
    <d v="2022-09-09T00:00:00"/>
    <n v="259008.75"/>
    <n v="46621.58"/>
    <x v="1"/>
    <s v="ACECLOFENAC IP (25KG)"/>
    <s v="UK18CA4303"/>
    <n v="18.000001930436714"/>
  </r>
  <r>
    <s v="721282741284"/>
    <s v="07AAGFL4546C1ZI / LAXMI PRINT N PACK"/>
    <s v="05AAECM6380J1ZA / M/S M R HealthCare Pvt. Ltd."/>
    <s v="New Delhi / 110028"/>
    <s v="RAMNAGAR / 244715"/>
    <s v="721282741284 - 08/09/2022 22:17:00"/>
    <s v="2022-2023/496"/>
    <d v="2022-09-07T00:00:00"/>
    <n v="95386"/>
    <n v="0"/>
    <x v="23"/>
    <s v="BOX"/>
    <s v="UK18CA5709"/>
    <n v="0"/>
  </r>
  <r>
    <s v="701282425340"/>
    <s v="07AESPT2022H1ZC / Om International"/>
    <s v="05AAECM6380J1ZA / M/S M R HealthCare Pvt. Ltd."/>
    <s v="Central Delhi / 110005"/>
    <s v="RAMNAGAR / 244715"/>
    <s v="701282425340 - 06/09/2022 21:57:00"/>
    <n v="494"/>
    <d v="2022-09-06T00:00:00"/>
    <n v="115500"/>
    <n v="20790"/>
    <x v="128"/>
    <s v="Rotary Punch and Die Capsule"/>
    <s v="UK18CA4773"/>
    <n v="18"/>
  </r>
  <r>
    <s v="771288276941"/>
    <s v="07AWMPG2245H1ZL / RAINBOW PHARMA AGENCIES"/>
    <s v="05AAECM6380J1ZA / M.R.HEALTHCARE PVT. LTD. - Uttarakhand"/>
    <s v="J-2865, DSIIDC, Industrial Area, Narela, Delhi-110 / 110040"/>
    <s v="Uttrakhand / 244715"/>
    <s v="771288276941 - 29/09/2022 19:23:00"/>
    <s v="2022-23/0646"/>
    <d v="2022-09-29T00:00:00"/>
    <n v="1290650"/>
    <n v="232317"/>
    <x v="33"/>
    <s v="AZITHROMYCIN IP/USP"/>
    <s v="UK18CA4773"/>
    <n v="18"/>
  </r>
  <r>
    <s v="771287861412"/>
    <s v="08AAACD2877R1ZZ / DHANUKA LABORATORIES LIMITED"/>
    <s v="05AAECM6380J1ZA / M/S M R HealthCare Pvt. Ltd."/>
    <s v="Jaipur / 303108"/>
    <s v="RAMNAGAR / 244715"/>
    <s v="771287861412 - 28/09/2022 15:44:00"/>
    <s v="SI/KD/2223/0413"/>
    <d v="2022-09-28T00:00:00"/>
    <n v="312500"/>
    <n v="56250"/>
    <x v="1"/>
    <s v="CITICOLINE SODIUM IP"/>
    <m/>
    <n v="18"/>
  </r>
  <r>
    <s v="731287227021"/>
    <s v="07AAGFL4546C1ZI / LAXMI PRINT N PACK"/>
    <s v="05AAECM6380J1ZA / M/S M R HealthCare Pvt. Ltd."/>
    <s v="New Delhi / 110028"/>
    <s v="RAMNAGAR / 244715"/>
    <s v="731287227021 - 26/09/2022 22:00:00"/>
    <s v="2022-2023/559"/>
    <d v="2022-09-26T00:00:00"/>
    <n v="398236"/>
    <n v="0"/>
    <x v="23"/>
    <s v="BOX"/>
    <s v="UK18CA6361"/>
    <n v="0"/>
  </r>
  <r>
    <s v="711287254870"/>
    <s v="07AARFV8827D1ZN / VAISHNO PRINT PACKAGING"/>
    <s v="05AAECM6380J1ZA / M/S M R HealthCare Pvt. Ltd."/>
    <s v="New Delhi / 110005"/>
    <s v="RAMNAGAR / 244715"/>
    <s v="711287254870 - 26/09/2022 22:00:00"/>
    <s v="2022-23/0254"/>
    <d v="2022-09-26T00:00:00"/>
    <n v="103661.75"/>
    <n v="18659.12"/>
    <x v="47"/>
    <s v="PRINTED ALUMINIUM FOIL"/>
    <s v="UK18CA6361"/>
    <n v="18.000004823379886"/>
  </r>
  <r>
    <s v="751287263571"/>
    <s v="07BJKPS7609R1Z5 / TANZEN TRADING CO."/>
    <s v="05AAECM6380J1ZA / M/S M R HealthCare Pvt. Ltd."/>
    <s v="West Delhi / 110018"/>
    <s v="RAMNAGAR / 244715"/>
    <s v="751287263571 - 26/09/2022 15:13:00"/>
    <s v="TTC/468/22-23"/>
    <d v="2022-09-26T00:00:00"/>
    <n v="49007"/>
    <n v="7488.76"/>
    <x v="4"/>
    <s v="Packing Material"/>
    <s v="DL01LP2324"/>
    <n v="15.281000673373192"/>
  </r>
  <r>
    <s v="721286835608"/>
    <s v="07AAACA6462D1Z0 / Alben Chemicals Pvt. Ltd."/>
    <s v="05AAECM6380J1ZA / M.R. HEALTHCARE PVT. LTD."/>
    <s v="Delhi / 110008"/>
    <s v="UTTRAKHAND / 244715"/>
    <s v="721286835608 - 24/09/2022 22:21:00"/>
    <s v="ACPL/22-23/2050"/>
    <d v="2022-09-24T00:00:00"/>
    <n v="575575"/>
    <n v="103603.5"/>
    <x v="33"/>
    <s v="CEFIXIME TRIHYDRATE IP (COMPACTED) (25 KGS)"/>
    <s v="UK18CA4773"/>
    <n v="18"/>
  </r>
  <r>
    <s v="721286073253"/>
    <s v="07AAACR6057R1ZR / ROHAN PHARMA PVT LTD"/>
    <s v="05AAECM6380J1ZA / MRHEALTHCARE PVT LTD"/>
    <s v="DELHI / 110039"/>
    <s v="RAM NAGAR / 244715"/>
    <s v="721286073253 - 22/09/2022 22:03:00"/>
    <s v="RPPL/2494/22-23"/>
    <d v="2022-09-22T00:00:00"/>
    <n v="18375"/>
    <n v="3307.5"/>
    <x v="5"/>
    <m/>
    <s v="UK18CA4767"/>
    <n v="18"/>
  </r>
  <r>
    <s v="701285526963"/>
    <s v="07BPSPA7872N2Z1 / SHARVA INTERNATIONAL"/>
    <s v="05AAECM6380J1ZA / M/S M R HealthCare Pvt. Ltd."/>
    <s v="West Delhi / 110015"/>
    <s v="RAMNAGAR / 244715"/>
    <s v="701285526963 - 21/09/2022 04:10:00"/>
    <s v="SI-174/22-23"/>
    <d v="2022-09-20T00:00:00"/>
    <n v="230730.5"/>
    <n v="41531.49"/>
    <x v="1"/>
    <m/>
    <s v="UK18CA3698"/>
    <n v="18"/>
  </r>
  <r>
    <s v="761285199453"/>
    <s v="07AAGFL4546C1ZI / LAXMI PRINT N PACK"/>
    <s v="05AAECM6380J1ZA / M/S M R HealthCare Pvt. Ltd."/>
    <s v="New Delhi / 110028"/>
    <s v="RAMNAGAR / 244715"/>
    <s v="761285199453 - 19/09/2022 23:12:00"/>
    <s v="2022-2023/532"/>
    <d v="2022-09-19T00:00:00"/>
    <n v="67774"/>
    <n v="0"/>
    <x v="23"/>
    <s v="BOX"/>
    <s v="UK18CA4303"/>
    <n v="0"/>
  </r>
  <r>
    <s v="791284695373"/>
    <s v="07AAACR6057R1ZR / ROHAN PHARMA PVT LTD"/>
    <s v="05AAECM6380J1ZA / MRHEALTHCARE PVT LTD"/>
    <s v="DELHI / 110039"/>
    <s v="RAM NAGAR / 244715"/>
    <s v="791284695373 - 17/09/2022 21:43:00"/>
    <s v="RPPL/2411/22-23"/>
    <d v="2022-09-16T00:00:00"/>
    <n v="123225"/>
    <n v="22180.5"/>
    <x v="5"/>
    <m/>
    <s v="UK18CA4303"/>
    <n v="18"/>
  </r>
  <r>
    <s v="771283917355"/>
    <s v="07AAACR6057R1ZR / ROHAN PHARMA PVT LTD"/>
    <s v="05AAECM6380J1ZA / MRHEALTHCARE PVT LTD"/>
    <s v="DELHI / 110039"/>
    <s v="RAM NAGAR / 244715"/>
    <s v="771283917355 - 14/09/2022 21:38:00"/>
    <s v="RPPL/2345/22-23"/>
    <d v="2022-09-13T00:00:00"/>
    <n v="120000"/>
    <n v="21600"/>
    <x v="5"/>
    <m/>
    <s v="UK18CA4303"/>
    <n v="18"/>
  </r>
  <r>
    <s v="711283648358"/>
    <s v="07ABECS4075R1ZM / SAMCHEM INDIA PRIVATE LIMITED"/>
    <s v="05AAECM6380J1ZA / M/S M R HealthCare Pvt. Ltd."/>
    <s v="New Delhi / 110015"/>
    <s v="RAMNAGAR / 244715"/>
    <s v="711283648358 - 12/09/2022 23:33:00"/>
    <s v="SIPL/22-23/1521"/>
    <d v="2022-09-12T00:00:00"/>
    <n v="54644"/>
    <n v="9835.92"/>
    <x v="90"/>
    <s v="RAW MATERIAL"/>
    <s v="DL01LAC2874"/>
    <n v="18"/>
  </r>
  <r>
    <s v="711283656546"/>
    <s v="07AAHCP4772A1ZJ / Parkleton Private Limited"/>
    <s v="05AAECM6380J1ZA / M.R. Healthcare Pvt Ltd"/>
    <s v="Delhi / 110085"/>
    <s v="Uttarakhand / 244715"/>
    <s v="711283656546 - 12/09/2022 19:43:00"/>
    <s v="PPL/2022-23/2560"/>
    <d v="2022-09-12T00:00:00"/>
    <n v="16382"/>
    <n v="2949"/>
    <x v="1"/>
    <s v="Glimepiride IP (Micronised) (29420090)"/>
    <s v="HR38AA4437"/>
    <n v="18.001465022585766"/>
  </r>
  <r>
    <s v="741283665439"/>
    <s v="08AACCA7721R1Z7 / ALKA LABORATORIES PVT LTD"/>
    <s v="05AAECM6380J1ZA / M R HEALTHCARE PVT LTD"/>
    <s v="BHIWADI / 301019"/>
    <s v="Ramnagar / 244715"/>
    <s v="741283665439 - 12/09/2022 14:44:00"/>
    <s v="ALPL22230603"/>
    <d v="2022-09-12T00:00:00"/>
    <n v="280000"/>
    <n v="50400"/>
    <x v="1"/>
    <m/>
    <s v="UK08CA9855"/>
    <n v="18"/>
  </r>
  <r>
    <s v="771283303314"/>
    <s v="07AABCS2515A1Z1 / SAJBEN PLASTFILMS PVT.LTD"/>
    <s v="05AAECM6380J1ZA / M/S M R HealthCare Pvt. Ltd."/>
    <s v="BAWANA / 110039"/>
    <s v="RAMNAGAR / 244715"/>
    <s v="771283303314 - 10/09/2022 23:19:00"/>
    <n v="941"/>
    <d v="2022-09-10T00:00:00"/>
    <n v="97513.5"/>
    <n v="17552.43"/>
    <x v="6"/>
    <s v="METTALISED"/>
    <s v="UK18CA4773"/>
    <n v="18"/>
  </r>
  <r>
    <s v="721283053034"/>
    <s v="07AABCS2515A1Z1 / SAJBEN PLASTFILMS PVT.LTD"/>
    <s v="05AAECM6380J1ZA / M/S M R HealthCare Pvt. Ltd."/>
    <s v="BAWANA / 110039"/>
    <s v="RAMNAGAR / 244715"/>
    <s v="721283053034 - 09/09/2022 21:07:00"/>
    <n v="932"/>
    <d v="2022-09-08T00:00:00"/>
    <n v="94683"/>
    <n v="17042.939999999999"/>
    <x v="12"/>
    <m/>
    <s v="UK18CA4303"/>
    <n v="17.999999999999996"/>
  </r>
  <r>
    <s v="791281845476"/>
    <s v="08AGTPB5912H1ZA / ONS PHARMACEUTICAL"/>
    <s v="05AAECM6380J1ZA / M/S M R HealthCare Pvt. Ltd."/>
    <s v="Jaipur / 302003"/>
    <s v="RAMNAGAR / 244715"/>
    <s v="791281845476 - 07/09/2022 19:30:00"/>
    <s v="22-23/001402"/>
    <d v="2022-09-03T00:00:00"/>
    <n v="223611.75"/>
    <n v="40250.11"/>
    <x v="29"/>
    <m/>
    <s v="UP14KT5802"/>
    <n v="17.999997763981543"/>
  </r>
  <r>
    <s v="781281631575"/>
    <s v="07AAACA6462D1Z0 / Alben Chemicals Pvt. Ltd."/>
    <s v="05AAECM6380J1ZA / M.R. HEALTHCARE PVT. LTD."/>
    <s v="Delhi / 110008"/>
    <s v="UTTRAKHAND / 244715"/>
    <s v="781281631575 - 03/09/2022 23:23:00"/>
    <s v="ACPL/22-23/1714"/>
    <d v="2022-09-02T00:00:00"/>
    <n v="189689.5"/>
    <n v="34144.11"/>
    <x v="1"/>
    <s v="ACECLOFENAC IP (25KG)"/>
    <s v="UK06CB5759"/>
    <n v="18"/>
  </r>
  <r>
    <s v="781281456725"/>
    <s v="07AAQFC6975N1ZH / CRETA PACKAGING"/>
    <s v="05AAECM6380J1ZA / M/S M R HealthCare Pvt. Ltd."/>
    <s v="North West Delhi / 110042"/>
    <s v="RAMNAGAR / 244715"/>
    <s v="781281456725 - 01/09/2022 21:16:00"/>
    <s v="22-23/63"/>
    <d v="2022-09-01T00:00:00"/>
    <n v="105000"/>
    <n v="18900"/>
    <x v="23"/>
    <m/>
    <s v="UK18CA5709"/>
    <n v="18"/>
  </r>
  <r>
    <s v="721281421457"/>
    <s v="07AAACR6057R1ZR / ROHAN PHARMA PVT LTD"/>
    <s v="05AAECM6380J1ZA / MRHEALTHCARE PVT LTD"/>
    <s v="DELHI / 110039"/>
    <s v="RAM NAGAR / 244715"/>
    <s v="721281421457 - 01/09/2022 21:16:00"/>
    <s v="RPPL/2160/22-23"/>
    <d v="2022-09-01T00:00:00"/>
    <n v="12500"/>
    <n v="2250"/>
    <x v="5"/>
    <m/>
    <s v="UK18CA5709"/>
    <n v="18"/>
  </r>
  <r>
    <s v="661466275685"/>
    <s v="26AAACA3345D1Z8 / Amisha Vinyls Pvt. Ltd."/>
    <s v="05AAECM6380J1ZA / M.R.HEALTHCARE PVT.LTD."/>
    <s v="Daman / 396210"/>
    <s v="NAINITAL / 244715"/>
    <s v="661466275685 - 20/09/2022 16:57:00"/>
    <n v="2383"/>
    <d v="2022-09-20T00:00:00"/>
    <n v="37192.5"/>
    <m/>
    <x v="12"/>
    <s v="Pharma grade - 01 - Blue Tone - 0.25mm Thick - 181mm Width - Paper Core 9 - BOX - WL"/>
    <s v="UK06CA1176"/>
    <n v="0"/>
  </r>
  <r>
    <s v="681462743731"/>
    <s v="24AAACV3832E1ZP / VIKRAM THERMO INDIA LIMITED"/>
    <s v="05AAECM6380J1ZA / M/S M R HealthCare Pvt. Ltd."/>
    <s v="DHANOT / 382729"/>
    <s v="RAMNAGAR / 244715"/>
    <s v="681462743731 - 12/09/2022 15:05:00"/>
    <s v="I-22-23/0979"/>
    <d v="2022-09-12T00:00:00"/>
    <n v="9000"/>
    <n v="1620"/>
    <x v="46"/>
    <s v="DRCOAT ECS"/>
    <s v="UK12CB0926"/>
    <n v="18"/>
  </r>
  <r>
    <s v="681459155077"/>
    <s v="24AACFK3554D1ZR / KUMAR INDUSTRIES"/>
    <s v="05AAECM6380J1ZA / M R HEALTHCARE PVT LTD"/>
    <s v="AHMEDABAD / 382330"/>
    <s v="Uttarakhand / 244715"/>
    <s v="681459155077 - 07/09/2022 18:58:00"/>
    <s v="KI/357/2022"/>
    <d v="2022-09-02T00:00:00"/>
    <n v="154000"/>
    <n v="27720"/>
    <x v="28"/>
    <s v="MEFENAMIC ACID IP"/>
    <s v="HR38T0499"/>
    <n v="18"/>
  </r>
  <r>
    <s v="661460253926"/>
    <s v="24AADFU5760A1ZI / UNIWORTH ENTERPRISES LLP"/>
    <s v="05AAECM6380J1ZA / M R HEALTHCARE PRIVATE LIMITED"/>
    <s v="AHMEDABAD / 382170"/>
    <s v="NAINITAL / 244715"/>
    <s v="661460253926 - 05/09/2022 17:54:00"/>
    <s v="UE1232201592"/>
    <d v="2022-09-05T00:00:00"/>
    <n v="43531.34"/>
    <n v="7835.66"/>
    <x v="12"/>
    <s v="PK PH PVC 0.250MM CLEAR 0147MM"/>
    <s v="UK06CB2672"/>
    <n v="18.000043187276113"/>
  </r>
  <r>
    <s v="681459474873"/>
    <s v="23AABFJ3781E1ZO / JYOTI ASSOCIATES"/>
    <s v="05AAECM6380J1ZA / M.R Healthcare Pvt Ltd"/>
    <s v="Indore / 452001"/>
    <s v="Nainital / 244715"/>
    <s v="681459474873 - 03/09/2022 20:20:00"/>
    <s v="JAS-322"/>
    <d v="2022-09-03T00:00:00"/>
    <n v="560000"/>
    <n v="100800"/>
    <x v="32"/>
    <s v="AMOXYCILLIN TRI.C-BP/IP/USP"/>
    <s v="UK18CA3643"/>
    <n v="18"/>
  </r>
  <r>
    <s v="601464103335"/>
    <s v="26AAACA3345D1Z8 / Amisha Vinyls Pvt. Ltd."/>
    <s v="05AAECM6380J1ZA / M.R.HEALTHCARE PVT.LTD."/>
    <s v="Daman / 396210"/>
    <s v="NAINITAL / 244715"/>
    <s v="601464103335 - 15/09/2022 14:28:00"/>
    <n v="2326"/>
    <d v="2022-09-15T00:00:00"/>
    <n v="144794.91"/>
    <m/>
    <x v="12"/>
    <s v="Pharma grade - 01 - Orange - 0.25mm Thick - 158mm Width - Paper Core 9 - BOX - WL"/>
    <s v="DL01LX7534"/>
    <n v="0"/>
  </r>
  <r>
    <s v="641459057669"/>
    <s v="24AAACV3832E1ZP / VIKRAM THERMO INDIA LIMITED"/>
    <s v="05AAECM6380J1ZA / M/S M R HealthCare Pvt. Ltd."/>
    <s v="DHANOT / 382729"/>
    <s v="RAMNAGAR / 244715"/>
    <s v="641459057669 - 02/09/2022 20:09:00"/>
    <s v="I-22-23/0895"/>
    <d v="2022-09-02T00:00:00"/>
    <n v="67500"/>
    <n v="12150"/>
    <x v="46"/>
    <s v="DRCOAT HSP"/>
    <m/>
    <n v="18"/>
  </r>
  <r>
    <s v="641460253780"/>
    <s v="24AADFU5760A1ZI / UNIWORTH ENTERPRISES LLP"/>
    <s v="05AAECM6380J1ZA / M R HEALTHCARE PRIVATE LIMITED"/>
    <s v="AHMEDABAD / 382170"/>
    <s v="NAINITAL / 244715"/>
    <s v="641460253780 - 05/09/2022 17:54:00"/>
    <s v="UE1232201585"/>
    <d v="2022-09-05T00:00:00"/>
    <n v="85626.23"/>
    <n v="15412.77"/>
    <x v="12"/>
    <s v="PK PH PVC 0.250MM DK AMBER 0174MM"/>
    <s v="UK06CB2672"/>
    <n v="18.000056758308759"/>
  </r>
  <r>
    <s v="441275091702"/>
    <s v="09AVWPT8411D1Z0 / MEDZY PHARMACEUTICAL"/>
    <s v="05AAECM6380J1ZA / M/S M R HealthCare Pvt. Ltd."/>
    <s v="Rudrapur / 263153"/>
    <s v="RAMNAGAR / 244715"/>
    <s v="441275091702 - 02/09/2022 13:32:00"/>
    <n v="30"/>
    <d v="2022-09-02T00:00:00"/>
    <n v="135000"/>
    <n v="24300"/>
    <x v="25"/>
    <m/>
    <s v="UK06CB2817"/>
    <n v="18"/>
  </r>
  <r>
    <s v="451275163864"/>
    <s v="09AARPG6593K1ZV / M/S SUNDER INDUSTRIES"/>
    <s v="05AAECM6380J1ZA / M/S M R HealthCare Pvt. Ltd."/>
    <s v="Ghaziabad / 201001"/>
    <s v="RAMNAGAR / 244715"/>
    <s v="451275163864 - 02/09/2022 17:09:00"/>
    <s v="SI/TI/22-23/375"/>
    <d v="2022-09-02T00:00:00"/>
    <n v="18666.75"/>
    <n v="3360.01"/>
    <x v="64"/>
    <s v="Printed Aluminium Foil Used in Packing of Medicine"/>
    <s v="UP22T8414"/>
    <n v="17.999973214405294"/>
  </r>
  <r>
    <s v="421275168518"/>
    <s v="09ABZFS8163Q1ZO / SUNDER PACKAGINGS"/>
    <s v="05AAECM6380J1ZA / M/S M R HealthCare Pvt. Ltd."/>
    <s v="Ghaziabad / 201002"/>
    <s v="RAMNAGAR / 244715"/>
    <s v="421275168518 - 02/09/2022 17:19:00"/>
    <s v="SP/TI/22-23/444"/>
    <d v="2022-09-02T00:00:00"/>
    <n v="80525"/>
    <n v="14494.5"/>
    <x v="4"/>
    <s v="Printed Duplex Mono Cartons"/>
    <s v="UP22T8414"/>
    <n v="18"/>
  </r>
  <r>
    <s v="411276515046"/>
    <s v="09BGUPK3260M1ZP / SHRI ENTERPRISES"/>
    <s v="05AAECM6380J1ZA / M R HEALTHCARE PVT LTD"/>
    <s v="SAHARANPUR / 247001"/>
    <s v="/ 244715"/>
    <s v="411276515046 - 08/09/2022 23:37:00"/>
    <n v="128"/>
    <d v="2022-09-06T00:00:00"/>
    <n v="35271"/>
    <n v="6348.78"/>
    <x v="21"/>
    <s v="PAPER"/>
    <s v="UK18CA5709"/>
    <n v="18"/>
  </r>
  <r>
    <s v="471276513882"/>
    <s v="09BGUPK3260M1ZP / SHRI ENTERPRISES"/>
    <s v="05AAECM6380J1ZA / M R HEALTHCARE PVT LTD"/>
    <s v="SAHARANPUR / 247001"/>
    <s v="/ 244715"/>
    <s v="471276513882 - 08/09/2022 23:37:00"/>
    <n v="130"/>
    <d v="2022-09-08T00:00:00"/>
    <n v="18398.5"/>
    <n v="3311.73"/>
    <x v="21"/>
    <s v="PAPER"/>
    <s v="UK18CA5709"/>
    <n v="18"/>
  </r>
  <r>
    <s v="401277012080"/>
    <s v="09ABPFA7359E1Z1 / AMBIENCE COOLING CORPORATION LLP"/>
    <s v="05AAECM6380J1ZA / M/S M R HealthCare Pvt. Ltd."/>
    <s v="Bareilly / 243122"/>
    <s v="RAMNAGAR / 244715"/>
    <s v="401277012080 - 10/09/2022 19:36:00"/>
    <n v="46"/>
    <d v="2022-09-10T00:00:00"/>
    <n v="609915.67000000004"/>
    <n v="109784.82"/>
    <x v="129"/>
    <m/>
    <s v="UP25DT9243"/>
    <n v="17.999999901625742"/>
  </r>
  <r>
    <s v="461277012905"/>
    <s v="09ABPFA7359E1Z1 / AMBIENCE COOLING CORPORATION LLP"/>
    <s v="05AAECM6380J1ZA / M/S M R HealthCare Pvt. Ltd."/>
    <s v="Bareilly / 243122"/>
    <s v="RAMNAGAR / 244715"/>
    <s v="461277012905 - 10/09/2022 19:39:00"/>
    <s v="GST-105"/>
    <d v="2022-09-10T00:00:00"/>
    <n v="107943"/>
    <n v="30224.04"/>
    <x v="130"/>
    <m/>
    <s v="UP25DT9243"/>
    <n v="28"/>
  </r>
  <r>
    <s v="441280389267"/>
    <s v="09AVWPT8411D1Z0 / MEDZY PHARMACEUTICAL"/>
    <s v="05AAECM6380J1ZA / M/S M R HealthCare Pvt. Ltd."/>
    <s v="Ghaziabad / 263153"/>
    <s v="RAMNAGAR / 244715"/>
    <s v="441280389267 - 26/09/2022 08:20:00"/>
    <n v="39"/>
    <d v="2022-09-26T00:00:00"/>
    <n v="60000"/>
    <n v="10800"/>
    <x v="51"/>
    <m/>
    <s v="UK06CB2817"/>
    <n v="18"/>
  </r>
  <r>
    <s v="441281030249"/>
    <s v="09AHJPG5662N1ZR / M/S NAMAN ENTERPRISES"/>
    <s v="05AAECM6380J1ZA / M/S M R HealthCare Pvt. Ltd."/>
    <s v="Bareilly / 243006"/>
    <s v="RAMNAGAR / 244715"/>
    <s v="441281030249 - 28/09/2022 13:28:00"/>
    <n v="68"/>
    <d v="2022-09-28T00:00:00"/>
    <n v="538106.48"/>
    <n v="96859.17"/>
    <x v="124"/>
    <s v="WIRE"/>
    <s v="UP25BT5586"/>
    <n v="18.000000669012572"/>
  </r>
  <r>
    <s v="421281255239"/>
    <s v="09BGUPK3260M1ZP / SHRI ENTERPRISES"/>
    <s v="05AAECM6380J1ZA / M R HEALTHCARE PVT LTD"/>
    <s v="SAHARANPUR / 247001"/>
    <s v="/ 244715"/>
    <s v="421281255239 - 29/09/2022 23:06:00"/>
    <n v="144"/>
    <d v="2022-09-29T00:00:00"/>
    <n v="124775.5"/>
    <n v="22459.59"/>
    <x v="21"/>
    <s v="PAPER"/>
    <s v="UK18CA3698"/>
    <n v="18"/>
  </r>
  <r>
    <s v="251436288304"/>
    <s v="27AAECA1503D1ZE / ABIL CHEMPHARMA PVT. LTD."/>
    <s v="05AAECM6380J1ZA / M.R.HEALTH CARE PVT.LTD.,"/>
    <s v="THANE / 421302"/>
    <s v="NAINITAL / 244715"/>
    <s v="251436288304 - 01/06/2022 18:54:00"/>
    <s v="M/2022-23/000510"/>
    <d v="2022-05-30T00:00:00"/>
    <n v="560000"/>
    <n v="100800"/>
    <x v="117"/>
    <s v="FEBANTEL"/>
    <s v="UK18CA4303"/>
    <n v="18"/>
  </r>
  <r>
    <s v="201448310872"/>
    <s v="27AABCS4582P1ZP / SHUBHAM PHARMACHEM PVT LTD"/>
    <s v="05AAECM6380J1ZA / M/S M R HealthCare Pvt. Ltd."/>
    <s v="RAHNAL VILLAGE BHIWANDI  THANE / 421302"/>
    <s v="RAMNAGAR / 244715"/>
    <s v="201448310872 - 30/06/2022 14:45:00"/>
    <s v="SPPL/22-23/D1398"/>
    <d v="2022-06-28T00:00:00"/>
    <n v="59500"/>
    <n v="10710"/>
    <x v="57"/>
    <s v="IP"/>
    <s v="UK18TA0659"/>
    <n v="18"/>
  </r>
  <r>
    <s v="271447847187"/>
    <s v="27AAFCS9959Q1Z4 / SNEHA MEDICARE PVT LTD"/>
    <s v="05AAECM6380J1ZA / M R HEALTHCARE PVT LTD"/>
    <s v="BHIWANDI / 421302"/>
    <s v="DIST NAINITAL / 244715"/>
    <s v="271447847187 - 28/06/2022 17:39:00"/>
    <s v="H02281"/>
    <d v="2022-06-27T00:00:00"/>
    <n v="270000"/>
    <n v="48600"/>
    <x v="103"/>
    <s v="DICLOFENAC POTASSIUM BP..."/>
    <s v="UK18CA3698"/>
    <n v="18"/>
  </r>
  <r>
    <s v="231444774208"/>
    <s v="27AAECA1503D1ZE / ABIL CHEMPHARMA PRIVATE LIMITED, BHIWANDI"/>
    <s v="05AAECM6380J1ZA / M/S M R HealthCare Pvt. Ltd."/>
    <s v="BHIWANDI / 421302"/>
    <s v="RAMNAGAR, NAINITAL / 244715"/>
    <s v="231444774208 - 22/06/2022 18:14:00"/>
    <s v="M/2022-23/000696"/>
    <d v="2022-06-17T00:00:00"/>
    <n v="560000"/>
    <n v="100800"/>
    <x v="117"/>
    <s v="Active Pharmaceutical Ingredient"/>
    <s v="UK18CA4303"/>
    <n v="18"/>
  </r>
  <r>
    <s v="201443682664"/>
    <s v="27AAFPP9715L1Z4 / ATMAN PHARMACEUTICALS"/>
    <s v="05AAECM6380J1ZA / M.R.HEALTHCARE PVT. LTD."/>
    <s v="DIST THANE / 421302"/>
    <s v="NAINITAL / 244715"/>
    <s v="201443682664 - 18/06/2022 16:16:00"/>
    <s v="SAL/0274"/>
    <d v="2022-06-17T00:00:00"/>
    <n v="210000"/>
    <n v="37800"/>
    <x v="29"/>
    <s v="PYRANTEL PAMOATE USP"/>
    <s v="UK18CA4767"/>
    <n v="18"/>
  </r>
  <r>
    <s v="231441114803"/>
    <s v="27AAFCS9959Q1Z4 / SNEHA MEDICARE PVT LTD"/>
    <s v="05AAECM6380J1ZA / M R HEALTHCARE PVT LTD"/>
    <s v="BHIWANDI / 421302"/>
    <s v="DIST NAINITAL / 244715"/>
    <s v="231441114803 - 14/06/2022 18:00:00"/>
    <s v="H01833"/>
    <d v="2022-06-10T00:00:00"/>
    <n v="94000"/>
    <n v="16920"/>
    <x v="34"/>
    <s v="DROTAVERINE HCL IP"/>
    <s v="UA04A7926"/>
    <n v="18"/>
  </r>
  <r>
    <s v="221441362230"/>
    <s v="27AAACU6175D1ZC / UNNATI PHARMACEUTICALS PVT LTD"/>
    <s v="05AAECM6380J1ZA / M R HEALTHCARE PVT LTD"/>
    <s v="Dist Thane / 421302"/>
    <s v="RAMNAGAR / 244715"/>
    <s v="221441362230 - 13/06/2022 20:17:00"/>
    <s v="MUMB001652"/>
    <d v="2022-06-11T00:00:00"/>
    <n v="82966.16"/>
    <n v="14933.91"/>
    <x v="1"/>
    <s v="METOPROLOL SUCCINATE IP"/>
    <m/>
    <n v="18.000001446372835"/>
  </r>
  <r>
    <s v="291440622136"/>
    <s v="27AAFCS9959Q1Z4 / SNEHA MEDICARE PVT LTD"/>
    <s v="05AAECM6380J1ZA / M R HEALTHCARE PVT LTD"/>
    <s v="BHIWANDI / 421302"/>
    <s v="DIST NAINITAL / 244715"/>
    <s v="291440622136 - 11/06/2022 10:14:00"/>
    <s v="H01807"/>
    <d v="2022-06-09T00:00:00"/>
    <n v="344000"/>
    <n v="61920"/>
    <x v="89"/>
    <s v="IBUPROFEN IP"/>
    <s v="UA04A7926"/>
    <n v="18"/>
  </r>
  <r>
    <s v="291438121971"/>
    <s v="27AAFCS9959Q1Z4 / SNEHA MEDICARE PVT LTD"/>
    <s v="05AAECM6380J1ZA / M R HEALTHCARE PVT LTD"/>
    <s v="BHIWANDI / 421302"/>
    <s v="DIST NAINITAL / 244715"/>
    <s v="291438121971 - 07/06/2022 20:40:00"/>
    <s v="H01602"/>
    <d v="2022-06-03T00:00:00"/>
    <n v="272000"/>
    <n v="48960"/>
    <x v="39"/>
    <s v="TINIDAZOLE IP."/>
    <s v="DL01LW7894"/>
    <n v="18"/>
  </r>
  <r>
    <s v="201437626735"/>
    <s v="27AABCS4582P1ZP / SHUBHAM PHARMACHEM PVT LTD"/>
    <s v="05AAECM6380J1ZA / M/S M R HealthCare Pvt. Ltd."/>
    <s v="MUNISUVRAT COMPLEX ANJUR PHATA / 421302"/>
    <s v="RAMNAGAR / 244715"/>
    <s v="201437626735 - 03/06/2022 18:22:00"/>
    <s v="SPPL/22-23/D1022"/>
    <d v="2022-06-01T00:00:00"/>
    <n v="118750"/>
    <n v="21375"/>
    <x v="34"/>
    <s v="IP"/>
    <s v="UK18CA4767"/>
    <n v="18"/>
  </r>
  <r>
    <s v="241437468209"/>
    <s v="27AAKFS5796B1ZT / SHREE RAJ CHEM"/>
    <s v="05AAECM6380J1ZA / M/S M R HealthCare Pvt. Ltd."/>
    <s v="BHIWANDI / 421302"/>
    <s v="UTTARAKHAND / 244715"/>
    <s v="241437468209 - 02/06/2022 16:08:00"/>
    <s v="SRC/0557"/>
    <d v="2022-06-01T00:00:00"/>
    <n v="182700"/>
    <n v="32886"/>
    <x v="40"/>
    <s v="HL MEDICINE"/>
    <s v="UK18CA4767"/>
    <n v="18"/>
  </r>
  <r>
    <s v="241436971810"/>
    <s v="27AAAFM4121E1ZU / MEDI PHARMA DRUG HOUSE"/>
    <s v="05AAECM6380J1ZA / M R HEALTHCARE PVT LTD"/>
    <s v="MAHARASHTRA / 421302"/>
    <s v="UTTARANCHAL / 244715"/>
    <s v="241436971810 - 02/06/2022 16:08:00"/>
    <n v="695"/>
    <d v="2022-05-31T00:00:00"/>
    <n v="142500"/>
    <n v="25650"/>
    <x v="1"/>
    <s v="CHLORZOXAZONE USP"/>
    <s v="UK18CA4767"/>
    <n v="18"/>
  </r>
  <r>
    <s v="291437291303"/>
    <s v="27AACPS7188P1ZP / FILTER WOVEN INDIA"/>
    <s v="05AAECM6380J1ZA / M/S M R HealthCare Pvt. Ltd."/>
    <s v="Mumbai Suburban / 400059"/>
    <s v="RAMNAGAR / 244715"/>
    <s v="291437291303 - 01/06/2022 20:39:00"/>
    <s v="FWI/22-23/48"/>
    <d v="2022-06-01T00:00:00"/>
    <n v="87350"/>
    <n v="15723"/>
    <x v="84"/>
    <s v="SIEVES AND SCREEN"/>
    <s v="UK18TA0659"/>
    <n v="18"/>
  </r>
  <r>
    <s v="351457266656"/>
    <s v="05AAJFB5728K1ZA / Blize Printers 2022-23"/>
    <s v="05AAECM6380J1ZA / M.R. HEALTHCARE PVT. LTD."/>
    <s v="BHAGWANPUR / 247661"/>
    <s v="RAMNAGAR / 244715"/>
    <s v="351457266656 - 09/06/2022 23:47:00"/>
    <s v="BP/22-23/0853"/>
    <d v="2022-06-09T00:00:00"/>
    <n v="51526.84"/>
    <n v="9274.84"/>
    <x v="8"/>
    <s v="Carton"/>
    <s v="UK18CA3698"/>
    <n v="18.000017078477935"/>
  </r>
  <r>
    <s v="321454881383"/>
    <s v="05ABNPA6018N2ZK / Manish Pharma"/>
    <s v="05AAECM6380J1ZA / MR HEALTHCARE PVT LTD"/>
    <s v="ROORKEE / 247667"/>
    <s v="KOSI ROAD,RAMNAGAR / 244715"/>
    <s v="321454881383 - 03/06/2022 15:41:00"/>
    <s v="MPR/22-23/0825"/>
    <d v="2022-06-03T00:00:00"/>
    <n v="51900.94"/>
    <n v="9342.16"/>
    <x v="1"/>
    <s v="DICYCLOMINE HCL IP (MAKE-PALAM)"/>
    <s v="UK18CA0203"/>
    <n v="17.999982273924132"/>
  </r>
  <r>
    <s v="311454677932"/>
    <s v="05AAUCS2953B1ZA / VIVA PACK PVT. LTD."/>
    <s v="05AAECM6380J1ZA / M.R HEALTHCARE PVT LTD."/>
    <s v="Roorkee / 247667"/>
    <s v="UTTARAKHAND / 244715"/>
    <s v="311454677932 - 02/06/2022 19:29:00"/>
    <s v="GST-2223-387"/>
    <d v="2022-06-02T00:00:00"/>
    <n v="125558.39999999999"/>
    <n v="22600.52"/>
    <x v="17"/>
    <s v="PET BOTTLES 120ML 12.5 GM RD AMB 528"/>
    <s v="UK17CA4322"/>
    <n v="18.000006371537072"/>
  </r>
  <r>
    <s v="371456714206"/>
    <s v="05AAIFV2202M1Z8 / Vimal Steel"/>
    <s v="05AAECM6380J1ZA / M.R.Health Care P Ltd"/>
    <s v="Ramnagar / 244715"/>
    <s v="Ramnagar / 244715"/>
    <s v="371456714206 - 08/06/2022 13:16:00"/>
    <n v="2617"/>
    <d v="2022-06-08T00:00:00"/>
    <n v="436127.1"/>
    <n v="78502.86"/>
    <x v="111"/>
    <s v="G.C.Sheet"/>
    <s v="UA04E4990"/>
    <n v="17.999995872762781"/>
  </r>
  <r>
    <s v="381464998233"/>
    <s v="05AABCA8568R1ZZ / ABS Mercantiles Pvt. Ltd."/>
    <s v="05AAECM6380J1ZA / M.R. HEALTHCARE PVT. LTD."/>
    <s v="UTTARAKHAND / 247667"/>
    <s v="Ram Nagar / 244715"/>
    <s v="381464998233 - 30/06/2022 01:55:00"/>
    <s v="ABSR/22-23/0170"/>
    <d v="2022-06-29T00:00:00"/>
    <n v="1537500"/>
    <n v="276750"/>
    <x v="33"/>
    <s v="CEFIXIME T.H. COMPACTED IP"/>
    <s v="UK18CA4773"/>
    <n v="18"/>
  </r>
  <r>
    <s v="351464992984"/>
    <s v="05AAJFB5728K1ZA / Blize Printers 2022-23"/>
    <s v="05AAECM6380J1ZA / M.R. HEALTHCARE PVT. LTD."/>
    <s v="BHAGWANPUR / 247661"/>
    <s v="RAMNAGAR / 244715"/>
    <s v="351464992984 - 30/06/2022 01:55:00"/>
    <s v="BP/22-23/1085"/>
    <d v="2022-06-29T00:00:00"/>
    <n v="72480.740000000005"/>
    <n v="13046.56"/>
    <x v="8"/>
    <s v="Carton"/>
    <s v="UK18CA4773"/>
    <n v="18.000036975339931"/>
  </r>
  <r>
    <s v="361464602453"/>
    <s v="05AASFR5565R1Z4 / M/S ROORKEE FOIL"/>
    <s v="05AAECM6380J1ZA / M/S M R HealthCare Pvt. Ltd."/>
    <s v="Haridwar / 247667"/>
    <s v="RAMNAGAR / 244715"/>
    <s v="361464602453 - 28/06/2022 23:32:00"/>
    <s v="RK/22-23/0688"/>
    <d v="2022-06-28T00:00:00"/>
    <n v="87953.2"/>
    <n v="15831.58"/>
    <x v="20"/>
    <s v="BLISTER FOIL PRINTED"/>
    <s v="UK18TA0659"/>
    <n v="18.000004547873189"/>
  </r>
  <r>
    <s v="301464149387"/>
    <s v="05AAJFB5728K1ZA / Blize Printers 2022-23"/>
    <s v="05AAECM6380J1ZA / M.R. HEALTHCARE PVT. LTD."/>
    <s v="BHAGWANPUR / 247661"/>
    <s v="RAMNAGAR / 244715"/>
    <s v="301464149387 - 28/06/2022 00:40:00"/>
    <s v="BP/22-23/1067"/>
    <d v="2022-06-27T00:00:00"/>
    <n v="91802.55"/>
    <n v="14574.46"/>
    <x v="8"/>
    <s v="Carton"/>
    <s v="UK18CA4303"/>
    <n v="15.875877086202943"/>
  </r>
  <r>
    <s v="381460744403"/>
    <s v="05ABSFA7387F1Z0 / AASTHA MEDI SOLUTIONS"/>
    <s v="05AAECM6380J1ZA / M/S M R HealthCare Pvt. Ltd."/>
    <s v="Haridwar / 247667"/>
    <s v="RAMNAGAR / 244715"/>
    <s v="381460744403 - 18/06/2022 17:20:00"/>
    <n v="310"/>
    <d v="2022-06-18T00:00:00"/>
    <n v="4400"/>
    <n v="792"/>
    <x v="11"/>
    <s v="PRINTED ROLLER"/>
    <s v="UK18CA4303"/>
    <n v="18"/>
  </r>
  <r>
    <s v="341460345808"/>
    <s v="05ABEFS5359M1ZP / M/S S.S. Industries"/>
    <s v="05AAECM6380J1ZA / M/S M R HealthCare Pvt. Ltd."/>
    <s v="Dehradun / 248011"/>
    <s v="RAMNAGAR / 244715"/>
    <s v="341460345808 - 18/06/2022 10:19:00"/>
    <n v="616"/>
    <d v="2022-06-17T00:00:00"/>
    <n v="12688"/>
    <n v="634.4"/>
    <x v="131"/>
    <m/>
    <s v="UK06CB2042"/>
    <n v="5"/>
  </r>
  <r>
    <s v="381459764892"/>
    <s v="05AAOFH2499A1ZE / HR PRINT PACK"/>
    <s v="05AAECM6380J1ZA / M/S M R HealthCare Pvt. Ltd."/>
    <s v="Haridwar / 247661"/>
    <s v="RAMNAGAR / 244715"/>
    <s v="381459764892 - 16/06/2022 23:52:00"/>
    <n v="105"/>
    <d v="2022-06-16T00:00:00"/>
    <n v="79779"/>
    <n v="14360.22"/>
    <x v="23"/>
    <s v="CARTON"/>
    <s v="UK18CA6669"/>
    <n v="18"/>
  </r>
  <r>
    <s v="351459912827"/>
    <s v="05ANTPS9188H1Z0 / G K PHARMA"/>
    <s v="05AAECM6380J1ZA / MR HEALTHCARE PVT LTD"/>
    <s v="ROORKEE / 247667"/>
    <s v="RAMNAGAR / 244715"/>
    <s v="351459912827 - 16/06/2022 23:52:00"/>
    <s v="GKUK/0396/22-23"/>
    <d v="2022-06-16T00:00:00"/>
    <n v="42400"/>
    <n v="7632"/>
    <x v="5"/>
    <m/>
    <s v="UK18CA6669"/>
    <n v="18"/>
  </r>
  <r>
    <s v="361459563909"/>
    <s v="05AAHCT0752E1ZN / Tiwari Pharma Pvt. Ltd."/>
    <s v="05AAECM6380J1ZA / M.R. Healthcare Pvt. Ltd."/>
    <s v="Bahadrabad / 249402"/>
    <s v="RAMNAGAR / 244715"/>
    <s v="361459563909 - 15/06/2022 18:35:00"/>
    <s v="TPPL/22-23/2229"/>
    <d v="2022-06-15T00:00:00"/>
    <n v="91100"/>
    <n v="16398"/>
    <x v="48"/>
    <s v="Primojel-Sodium Starch Glycolate Usp-Nf"/>
    <s v="UK18CA3698"/>
    <n v="18"/>
  </r>
  <r>
    <s v="321455999528"/>
    <s v="05AAJFB5728K1ZA / Blize Printers 2022-23"/>
    <s v="05AAECM6380J1ZA / M.R. HEALTHCARE PVT. LTD."/>
    <s v="BHAGWANPUR / 247661"/>
    <s v="RAMNAGAR / 244715"/>
    <s v="321455999528 - 06/06/2022 23:21:00"/>
    <s v="BP/22-23/0814"/>
    <d v="2022-06-06T00:00:00"/>
    <n v="92325.89"/>
    <n v="16618.66"/>
    <x v="8"/>
    <s v="Carton"/>
    <s v="UK18CA3698"/>
    <n v="17.99999978337604"/>
  </r>
  <r>
    <s v="321455863757"/>
    <s v="02AAACR6057R1Z1 / ROHAN PHARMA PVT LTD"/>
    <s v="05AAECM6380J1ZA / MRHEALTHCARE PVT LTD"/>
    <s v="BADDI / 173205"/>
    <s v="RAM NAGAR / 244715"/>
    <s v="321455863757 - 06/06/2022 16:47:00"/>
    <s v="RPHP/0636/22-23"/>
    <d v="2022-06-06T00:00:00"/>
    <n v="420000"/>
    <n v="75600"/>
    <x v="57"/>
    <m/>
    <s v="UK07CB9810"/>
    <n v="18"/>
  </r>
  <r>
    <s v="351455263125"/>
    <s v="05AAJFB5728K1ZA / Blize Printers 2022-23"/>
    <s v="05AAECM6380J1ZA / M.R. HEALTHCARE PVT. LTD."/>
    <s v="BHAGWANPUR / 247661"/>
    <s v="RAMNAGAR / 244715"/>
    <s v="351455263125 - 04/06/2022 23:20:00"/>
    <s v="BP/22-23/0790"/>
    <d v="2022-06-04T00:00:00"/>
    <n v="220103.1"/>
    <n v="37890.86"/>
    <x v="8"/>
    <s v="Carton"/>
    <s v="UK17CA4303"/>
    <n v="17.215050583113094"/>
  </r>
  <r>
    <s v="361455070391"/>
    <s v="05AAJFB5728K1ZA / Blize Printers 2022-23"/>
    <s v="05AAECM6380J1ZA / M.R. HEALTHCARE PVT. LTD."/>
    <s v="BHAGWANPUR / 247661"/>
    <s v="RAMNAGAR / 244715"/>
    <s v="361455070391 - 03/06/2022 23:43:00"/>
    <s v="BP/22-23/0784"/>
    <d v="2022-06-03T00:00:00"/>
    <n v="84749.5"/>
    <n v="15254.92"/>
    <x v="8"/>
    <s v="Carton"/>
    <s v="UK17CA4306"/>
    <n v="18.000011799479644"/>
  </r>
  <r>
    <s v="321455134356"/>
    <s v="05ABEFS5359M1ZP / M/S S.S. Industries"/>
    <s v="05AAECM6380J1ZA / M/S M R HealthCare Pvt. Ltd."/>
    <s v="Dehradun / 248011"/>
    <s v="RAMNAGAR / 244715"/>
    <s v="321455134356 - 03/06/2022 20:44:00"/>
    <n v="497"/>
    <d v="2022-06-03T00:00:00"/>
    <n v="318681"/>
    <n v="57362.58"/>
    <x v="4"/>
    <m/>
    <s v="UK07CA3888"/>
    <n v="18"/>
  </r>
  <r>
    <s v="331454680246"/>
    <s v="05AAUCS2953B1ZA / VIVA PACK PVT. LTD."/>
    <s v="05AAECM6380J1ZA / M.R HEALTHCARE PVT LTD."/>
    <s v="Roorkee / 247667"/>
    <s v="UTTARAKHAND / 244715"/>
    <s v="331454680246 - 02/06/2022 19:34:00"/>
    <s v="GST-2223-388"/>
    <d v="2022-06-02T00:00:00"/>
    <n v="44323.199999999997"/>
    <n v="7978.18"/>
    <x v="17"/>
    <s v="PET BOTTLES 170ML 16 GM RD CLR 432"/>
    <s v="UK17CA4322"/>
    <n v="18.000009024619164"/>
  </r>
  <r>
    <s v="311454087793"/>
    <s v="05AAIFV2202M1Z8 / Vimal Steel"/>
    <s v="05AAECM6380J1ZA / M.R.Health Care P Ltd"/>
    <s v="Ramnagar / 244715"/>
    <s v="Ramnagar / 244715"/>
    <s v="311454087793 - 01/06/2022 14:54:00"/>
    <n v="2365"/>
    <d v="2022-06-01T00:00:00"/>
    <n v="350165.22"/>
    <n v="63029.760000000002"/>
    <x v="111"/>
    <s v="G.C. Coated Sheet"/>
    <s v="UK04CA3830"/>
    <n v="18.000005825821308"/>
  </r>
  <r>
    <s v="311455135765"/>
    <s v="05ABEFS5359M1ZP / M/S S.S. Industries"/>
    <s v="05AAECM6380J1ZA / M/S M R HealthCare Pvt. Ltd."/>
    <s v="Dehradun / 248011"/>
    <s v="RAMNAGAR / 244715"/>
    <s v="311455135765 - 03/06/2022 20:51:00"/>
    <n v="499"/>
    <d v="2022-06-03T00:00:00"/>
    <n v="25215"/>
    <n v="4538.7"/>
    <x v="13"/>
    <m/>
    <s v="UK07CA3888"/>
    <n v="18"/>
  </r>
  <r>
    <s v="351455133055"/>
    <s v="05BRCPM0683F1Z0 / S S PACKAGING"/>
    <s v="05AAECM6380J1ZA / M/S M R HealthCare Pvt. Ltd."/>
    <s v="Dehradun / 248011"/>
    <s v="RAMNAGAR / 244715"/>
    <s v="351455133055 - 03/06/2022 20:37:00"/>
    <n v="191"/>
    <d v="2022-06-03T00:00:00"/>
    <n v="18644.7"/>
    <n v="3356.04"/>
    <x v="18"/>
    <m/>
    <s v="UK07CA3888"/>
    <n v="17.999967819273035"/>
  </r>
  <r>
    <s v="351454243751"/>
    <s v="05AAQCS5989R1ZZ / M/S SATYAM SHIVAM PACKAGING PRIVATE LIMITED"/>
    <s v="05AAECM6380J1ZA / M/S M R HealthCare Pvt. Ltd."/>
    <s v="Udham Singh Nagar / 263153"/>
    <s v="RAMNAGAR / 244715"/>
    <s v="351454243751 - 01/06/2022 19:02:00"/>
    <s v="SSP/22-23/327"/>
    <d v="2022-06-01T00:00:00"/>
    <n v="75859.5"/>
    <n v="13654.72"/>
    <x v="18"/>
    <s v="310X255X265 (7 PLY C BOX)"/>
    <s v="UK06CB0108"/>
    <n v="18.000013182264581"/>
  </r>
  <r>
    <s v="381465169784"/>
    <s v="05ABEFS5359M1ZP / M/S S.S. Industries"/>
    <s v="05AAECM6380J1ZA / M/S M R HealthCare Pvt. Ltd."/>
    <s v="Dehradun / 248011"/>
    <s v="RAMNAGAR / 244715"/>
    <s v="381465169784 - 29/06/2022 19:38:00"/>
    <n v="706"/>
    <d v="2022-06-29T00:00:00"/>
    <n v="7980"/>
    <n v="399"/>
    <x v="131"/>
    <m/>
    <s v="UK07CB4862"/>
    <n v="5"/>
  </r>
  <r>
    <s v="391465167921"/>
    <s v="05ABEFS5359M1ZP / M/S S.S. Industries"/>
    <s v="05AAECM6380J1ZA / M/S M R HealthCare Pvt. Ltd."/>
    <s v="Dehradun / 248011"/>
    <s v="RAMNAGAR / 244715"/>
    <s v="391465167921 - 29/06/2022 19:35:00"/>
    <n v="705"/>
    <d v="2022-06-29T00:00:00"/>
    <n v="53120"/>
    <n v="9561.6"/>
    <x v="13"/>
    <m/>
    <s v="UK07CB4862"/>
    <n v="18"/>
  </r>
  <r>
    <s v="351464107629"/>
    <s v="05ABNPA6018N2ZK / Manish Pharma"/>
    <s v="05AAECM6380J1ZA / MR HEALTHCARE PVT LTD"/>
    <s v="ROORKEE / 247667"/>
    <s v="KOSI ROAD,RAMNAGAR / 244715"/>
    <s v="351464107629 - 28/06/2022 16:15:00"/>
    <s v="MPR/22-23/1124"/>
    <d v="2022-06-27T00:00:00"/>
    <n v="409954.88"/>
    <n v="73791.88"/>
    <x v="1"/>
    <s v="CHLORZOXAZONE USP (MAKE-SARA)"/>
    <s v="UK07CD0439"/>
    <n v="18.000000390286854"/>
  </r>
  <r>
    <s v="351464145533"/>
    <s v="03AABCS6468G1ZD / Nectar Lifesciences Limited"/>
    <s v="05AAECM6380J1ZA / M.R. HEALTHCARE PVT. LTD."/>
    <s v="Derabassi-(Punjab) / 140507"/>
    <s v="RAMNAGAR-(Uttarakhand) / 244715"/>
    <s v="351464145533 - 27/06/2022 17:26:00"/>
    <n v="1210398"/>
    <d v="2022-06-27T00:00:00"/>
    <n v="907500"/>
    <m/>
    <x v="33"/>
    <s v="CEFPODOXIME PROXETIL IP (COMP.)"/>
    <s v="UK12CB0926"/>
    <n v="0"/>
  </r>
  <r>
    <s v="301463828502"/>
    <s v="05AAQCS5989R1ZZ / M/S SATYAM SHIVAM PACKAGING PRIVATE LIMITED"/>
    <s v="05AAECM6380J1ZA / M/S M R HealthCare Pvt. Ltd."/>
    <s v="Udham Singh Nagar / 263153"/>
    <s v="RAMNAGAR / 244715"/>
    <s v="301463828502 - 26/06/2022 18:42:00"/>
    <s v="SSP/22-23/478"/>
    <d v="2022-06-26T00:00:00"/>
    <n v="54442.65"/>
    <n v="9799.68"/>
    <x v="18"/>
    <s v="510X357X295 (7 PLY C BOX)"/>
    <s v="UK06CB0108"/>
    <n v="18.000005510385698"/>
  </r>
  <r>
    <s v="391462649899"/>
    <s v="05KBGPS5273E1ZC / SUNDERAM PACKAGING"/>
    <s v="05AAECM6380J1ZA / M/S M R HealthCare Pvt. Ltd."/>
    <s v="Udham Singh Nagar / 263153"/>
    <s v="RAMNAGAR / 244715"/>
    <s v="391462649899 - 25/06/2022 06:08:00"/>
    <s v="SP/159"/>
    <d v="2022-06-23T00:00:00"/>
    <n v="78783.06"/>
    <n v="14180.96"/>
    <x v="47"/>
    <s v="FOIL"/>
    <s v="UK06CB1942"/>
    <n v="18.0000116776373"/>
  </r>
  <r>
    <s v="381462574077"/>
    <s v="05AAJFB5728K1ZA / Blize Printers 2022-23"/>
    <s v="05AAECM6380J1ZA / M.R. HEALTHCARE PVT. LTD."/>
    <s v="BHAGWANPUR / 247661"/>
    <s v="RAMNAGAR / 244715"/>
    <s v="381462574077 - 23/06/2022 23:38:00"/>
    <s v="BP/22-23/1019"/>
    <d v="2022-06-23T00:00:00"/>
    <n v="38398.33"/>
    <n v="6911.7"/>
    <x v="8"/>
    <s v="Carton"/>
    <s v="UK17CA1878"/>
    <n v="18.000001562567956"/>
  </r>
  <r>
    <s v="361462158833"/>
    <s v="05AAJFB5728K1ZA / Blize Printers 2022-23"/>
    <s v="05AAECM6380J1ZA / M.R. HEALTHCARE PVT. LTD."/>
    <s v="BHAGWANPUR / 247661"/>
    <s v="RAMNAGAR / 244715"/>
    <s v="361462158833 - 22/06/2022 23:13:00"/>
    <s v="BP/22-23/1003"/>
    <d v="2022-06-22T00:00:00"/>
    <n v="63022"/>
    <n v="11343.96"/>
    <x v="8"/>
    <s v="Carton"/>
    <s v="UK18TA0659"/>
    <n v="18"/>
  </r>
  <r>
    <s v="331461893134"/>
    <s v="06AARFV8827D1ZP / VAISHNO PRINT PACKAGING"/>
    <s v="05AAECM6380J1ZA / M/S M R HealthCare Pvt. Ltd."/>
    <s v="Jhajjar / 124507"/>
    <s v="RAMNAGAR / 244715"/>
    <s v="331461893134 - 22/06/2022 22:53:00"/>
    <s v="2022-23/0105"/>
    <d v="2022-06-21T00:00:00"/>
    <n v="46502.8"/>
    <n v="8370.5"/>
    <x v="47"/>
    <s v="ALUMINIUM FOIL"/>
    <s v="UK18TA0659"/>
    <n v="17.99999139836741"/>
  </r>
  <r>
    <s v="341461625530"/>
    <s v="05ANTPS9188H1Z0 / G K PHARMA"/>
    <s v="05AAECM6380J1ZA / MR HEALTHCARE PVT LTD"/>
    <s v="ROORKEE / 247667"/>
    <s v="RAMNAGAR / 244715"/>
    <s v="341461625530 - 21/06/2022 23:37:00"/>
    <s v="GKUK/0409/22-23"/>
    <d v="2022-06-21T00:00:00"/>
    <n v="43200"/>
    <n v="7776"/>
    <x v="57"/>
    <m/>
    <s v="UK17CA4303"/>
    <n v="18"/>
  </r>
  <r>
    <s v="381461196533"/>
    <s v="05AAJFB5728K1ZA / Blize Printers 2022-23"/>
    <s v="05AAECM6380J1ZA / M.R. HEALTHCARE PVT. LTD."/>
    <s v="BHAGWANPUR / 247661"/>
    <s v="RAMNAGAR / 244715"/>
    <s v="381461196533 - 20/06/2022 23:36:00"/>
    <s v="BP/22-23/0975"/>
    <d v="2022-06-20T00:00:00"/>
    <n v="110710.2"/>
    <n v="19927.84"/>
    <x v="8"/>
    <s v="Carton"/>
    <s v="UK18CA3698"/>
    <n v="18.000003613036558"/>
  </r>
  <r>
    <s v="321461251537"/>
    <s v="05ALGPC9789H1ZQ / OM PHARMACEUTICALS"/>
    <s v="05AAECM6380J1ZA / M/S M R HealthCare Pvt. Ltd."/>
    <s v="Haridwar / 249402"/>
    <s v="RAMNAGAR / 244715"/>
    <s v="321461251537 - 20/06/2022 20:09:00"/>
    <s v="OP/00107/2022-23"/>
    <d v="2022-06-20T00:00:00"/>
    <n v="163500"/>
    <n v="29430"/>
    <x v="26"/>
    <s v="CROSSPOVIDONE XL 10"/>
    <s v="UK18CA3698"/>
    <n v="18"/>
  </r>
  <r>
    <s v="371460659089"/>
    <s v="05AABCA8568R1ZZ / ABS Mercantiles Pvt. Ltd."/>
    <s v="05AAECM6380J1ZA / M.R. HEALTHCARE PVT. LTD."/>
    <s v="UTTARAKHAND / 247667"/>
    <s v="Ram Nagar / 244715"/>
    <s v="371460659089 - 18/06/2022 23:13:00"/>
    <s v="ABSR/22-23/0141"/>
    <d v="2022-06-18T00:00:00"/>
    <n v="1462500"/>
    <n v="263250"/>
    <x v="1"/>
    <s v="Itraconazole Pellets 40% -BP"/>
    <s v="UK18CA4303"/>
    <n v="18"/>
  </r>
  <r>
    <s v="321460793296"/>
    <s v="05AAFCH1159K1ZL / HARIDWAR FOILS PRIVATE LIMITED"/>
    <s v="05AAECM6380J1ZA / M/S M R HealthCare Pvt. Ltd."/>
    <s v="Haridwar / 249403"/>
    <s v="RAMNAGAR / 244715"/>
    <s v="321460793296 - 18/06/2022 20:58:00"/>
    <n v="161"/>
    <d v="2022-06-18T00:00:00"/>
    <n v="67893"/>
    <n v="12220.74"/>
    <x v="81"/>
    <s v="PRINTED FOIL"/>
    <s v="UK18CA4303"/>
    <n v="18"/>
  </r>
  <r>
    <s v="301459944643"/>
    <s v="06AYEPS2518M1Z4 / FORTUNE SOURCING"/>
    <s v="05AAECM6380J1ZA / M/S M R HealthCare Pvt. Ltd."/>
    <s v="Gurugram / 122001"/>
    <s v="RAMNAGAR / 244715"/>
    <s v="301459944643 - 18/06/2022 19:58:00"/>
    <s v="FS/0076/2022-23"/>
    <d v="2022-06-16T00:00:00"/>
    <n v="85244.800000000003"/>
    <n v="15344.06"/>
    <x v="10"/>
    <s v="LAMI TUBE"/>
    <s v="UK06TA4820"/>
    <n v="17.999995307631668"/>
  </r>
  <r>
    <s v="381460809591"/>
    <s v="05ABNFA2675D1ZK / Aura Packaging"/>
    <s v="05AAECM6380J1ZA / M/S M R HealthCare Pvt. Ltd."/>
    <s v="Udham Singh Nagar / 263153"/>
    <s v="RAMNAGAR / 244715"/>
    <s v="381460809591 - 18/06/2022 19:17:00"/>
    <s v="AP/2022-23/00186"/>
    <d v="2022-06-18T00:00:00"/>
    <n v="44338.400000000001"/>
    <n v="7980.92"/>
    <x v="23"/>
    <m/>
    <s v="UK06CB7086"/>
    <n v="18.000018043050719"/>
  </r>
  <r>
    <s v="321460339074"/>
    <s v="05ABEFS5359M1ZP / M/S S.S. Industries"/>
    <s v="05AAECM6380J1ZA / M/S M R HealthCare Pvt. Ltd."/>
    <s v="Dehradun / 248011"/>
    <s v="RAMNAGAR / 244715"/>
    <s v="321460339074 - 18/06/2022 10:19:00"/>
    <n v="615"/>
    <d v="2022-06-17T00:00:00"/>
    <n v="123796"/>
    <n v="22283.279999999999"/>
    <x v="4"/>
    <m/>
    <s v="UK04CB2997"/>
    <n v="18"/>
  </r>
  <r>
    <s v="381460368469"/>
    <s v="05AAJFB5728K1ZA / Blize Printers 2022-23"/>
    <s v="05AAECM6380J1ZA / M.R. HEALTHCARE PVT. LTD."/>
    <s v="BHAGWANPUR / 247661"/>
    <s v="RAMNAGAR / 244715"/>
    <s v="381460368469 - 18/06/2022 00:31:00"/>
    <s v="BP/22-23/0955"/>
    <d v="2022-06-17T00:00:00"/>
    <n v="53495.75"/>
    <n v="9629.24"/>
    <x v="8"/>
    <s v="Carton"/>
    <s v="UK18CA3698"/>
    <n v="18.000009346536874"/>
  </r>
  <r>
    <s v="371460432451"/>
    <s v="05ALGPC9789H1ZQ / OM PHARMACEUTICALS"/>
    <s v="05AAECM6380J1ZA / M/S M R HealthCare Pvt. Ltd."/>
    <s v="Haridwar / 249402"/>
    <s v="RAMNAGAR / 244715"/>
    <s v="371460432451 - 17/06/2022 21:53:00"/>
    <s v="Op/00105/2022-23"/>
    <d v="2022-06-17T00:00:00"/>
    <n v="88000"/>
    <n v="15840"/>
    <x v="73"/>
    <s v="Cholecalciferol vitamin d3"/>
    <s v="UK18CA3698"/>
    <n v="18"/>
  </r>
  <r>
    <s v="381459744005"/>
    <s v="05ANTPS9188H1Z0 / G K PHARMA"/>
    <s v="05AAECM6380J1ZA / MR HEALTHCARE PVT LTD"/>
    <s v="ROORKEE / 247667"/>
    <s v="RAMNAGAR / 244715"/>
    <s v="381459744005 - 16/06/2022 23:52:00"/>
    <s v="GKUK/0389/22-23"/>
    <d v="2022-06-16T00:00:00"/>
    <n v="148160"/>
    <n v="26668.799999999999"/>
    <x v="5"/>
    <m/>
    <s v="UK18CA6669"/>
    <n v="18"/>
  </r>
  <r>
    <s v="361459810595"/>
    <s v="05ABNPA6018N2ZK / Manish Pharma"/>
    <s v="05AAECM6380J1ZA / MR HEALTHCARE PVT LTD"/>
    <s v="ROORKEE / 247667"/>
    <s v="KOSI ROAD,RAMNAGAR / 244715"/>
    <s v="361459810595 - 16/06/2022 18:32:00"/>
    <s v="MPR/22-23/0968"/>
    <d v="2022-06-16T00:00:00"/>
    <n v="1070535"/>
    <n v="192696.3"/>
    <x v="19"/>
    <s v="PARACETAMOL IP (VIVA-API)"/>
    <s v="UK04CB2638"/>
    <n v="18"/>
  </r>
  <r>
    <s v="371459445824"/>
    <s v="05AASFR5565R1Z4 / M/S ROORKEE FOIL"/>
    <s v="05AAECM6380J1ZA / M/S M R HealthCare Pvt. Ltd."/>
    <s v="Haridwar / 247667"/>
    <s v="RAMNAGAR / 244715"/>
    <s v="371459445824 - 16/06/2022 00:08:00"/>
    <s v="RK/22-23/0581"/>
    <d v="2022-06-15T00:00:00"/>
    <n v="222681"/>
    <n v="40082.58"/>
    <x v="81"/>
    <s v="STRIP FOIL PRINTED AND PLAIN"/>
    <s v="UK18CA3698"/>
    <n v="18"/>
  </r>
  <r>
    <s v="361459465829"/>
    <s v="06AABCF5740N1ZG / Alutech Packaging Private Limited"/>
    <s v="05AAECM6380J1ZA / M R HEALTHCARE PVT LTD"/>
    <s v="Bahadurgarh / 124507"/>
    <s v="NANITAL / 244715"/>
    <s v="361459465829 - 15/06/2022 16:15:00"/>
    <s v="APPL/22-23/1639"/>
    <d v="2022-06-15T00:00:00"/>
    <n v="853679.9"/>
    <n v="153662.38"/>
    <x v="14"/>
    <s v="Aluminium Foil"/>
    <m/>
    <n v="17.999999765720148"/>
  </r>
  <r>
    <s v="381458649673"/>
    <s v="02AKAPC8938R1ZU / COAT AND COAT PHARMACARE"/>
    <s v="05AAECM6380J1ZA / M/S M R HealthCare Pvt. Ltd."/>
    <s v="Solan / 173205"/>
    <s v="RAMNAGAR / 244715"/>
    <s v="381458649673 - 13/06/2022 19:59:00"/>
    <n v="362"/>
    <d v="2022-06-13T00:00:00"/>
    <n v="90000"/>
    <n v="16200"/>
    <x v="46"/>
    <s v="TABLET COATING MATERIAL"/>
    <s v="UK06CB8289"/>
    <n v="18"/>
  </r>
  <r>
    <s v="311458632854"/>
    <s v="02AAACR6057R1Z1 / ROHAN PHARMA PVT LTD"/>
    <s v="05AAECM6380J1ZA / MRHEALTHCARE PVT LTD"/>
    <s v="BADDI / 173205"/>
    <s v="RAM NAGAR / 244715"/>
    <s v="311458632854 - 13/06/2022 16:58:00"/>
    <s v="RPHP/0699/22-23"/>
    <d v="2022-06-13T00:00:00"/>
    <n v="420000"/>
    <n v="75600"/>
    <x v="57"/>
    <m/>
    <s v="UK18CA4303"/>
    <n v="18"/>
  </r>
  <r>
    <s v="391458077075"/>
    <s v="05AAJFB5728K1ZA / Blize Printers 2022-23"/>
    <s v="05AAECM6380J1ZA / M.R. HEALTHCARE PVT. LTD."/>
    <s v="BHAGWANPUR / 247661"/>
    <s v="RAMNAGAR / 244715"/>
    <s v="391458077075 - 11/06/2022 22:50:00"/>
    <s v="BP/22-23/0877"/>
    <d v="2022-06-10T00:00:00"/>
    <n v="57432.45"/>
    <n v="10337.84"/>
    <x v="8"/>
    <s v="Carton"/>
    <s v="UK18TA0659"/>
    <n v="17.999998258824064"/>
  </r>
  <r>
    <s v="301458144187"/>
    <s v="06AABCS1630A1Z5 / S.K.JAIN TRADING P. LTD."/>
    <s v="05AAECM6380J1ZA / M. R. HEALTHCARE PVT. LTD."/>
    <s v="FARIDABAD / 121002"/>
    <s v="RAMNAGAR / 244715"/>
    <s v="301458144187 - 11/06/2022 21:44:00"/>
    <n v="903"/>
    <d v="2022-06-11T00:00:00"/>
    <n v="58158"/>
    <n v="10468.44"/>
    <x v="132"/>
    <s v="KETOROLAC TROMETHAMINE IP/USP (SATYADIVIS)"/>
    <s v="DL01LAC2874"/>
    <n v="18"/>
  </r>
  <r>
    <s v="351456721309"/>
    <s v="05ABNFA2675D1ZK / AURA PACKAGING"/>
    <s v="05AAECM6380J1ZA / M/S M R HealthCare Pvt. Ltd."/>
    <s v="Udham Singh Nagar / 263153"/>
    <s v="RAMNAGAR / 244715"/>
    <s v="351456721309 - 08/06/2022 13:32:00"/>
    <s v="AP/2022-23/00159"/>
    <d v="2022-06-08T00:00:00"/>
    <n v="51271.5"/>
    <n v="9228.8799999999992"/>
    <x v="23"/>
    <m/>
    <s v="UK06CB7086"/>
    <n v="18.000019504012947"/>
  </r>
  <r>
    <s v="301456323845"/>
    <s v="05ALGPC9789H1ZQ / OM PHARMACEUTICALS"/>
    <s v="05AAECM6380J1ZA / M/S M R HealthCare Pvt. Ltd."/>
    <s v="Haridwar / 249402"/>
    <s v="RAMNAGAR / 244715"/>
    <s v="301456323845 - 07/06/2022 20:29:00"/>
    <s v="OP/00090/2022-23"/>
    <d v="2022-06-07T00:00:00"/>
    <n v="158250"/>
    <n v="28485"/>
    <x v="25"/>
    <s v="MCCP ACECEL 102 IP"/>
    <s v="UK17CA1878"/>
    <n v="18"/>
  </r>
  <r>
    <s v="371455475979"/>
    <s v="05FYDPS0716P2ZZ / PHARMA PACK"/>
    <s v="05AAECM6380J1ZA / M/S M R HealthCare Pvt. Ltd."/>
    <s v="Haridwar / 247667"/>
    <s v="RAMNAGAR / 244715"/>
    <s v="371455475979 - 04/06/2022 23:20:00"/>
    <s v="PP/069"/>
    <d v="2022-06-04T00:00:00"/>
    <n v="45193.2"/>
    <n v="8134.78"/>
    <x v="47"/>
    <s v="PACKING MATERIAL"/>
    <s v="UK17CA4303"/>
    <n v="18.000008850889074"/>
  </r>
  <r>
    <s v="301455135072"/>
    <s v="05ABEFS5359M1ZP / M/S S.S. Industries"/>
    <s v="05AAECM6380J1ZA / M/S M R HealthCare Pvt. Ltd."/>
    <s v="Dehradun / 248011"/>
    <s v="RAMNAGAR / 244715"/>
    <s v="301455135072 - 03/06/2022 20:47:00"/>
    <n v="498"/>
    <d v="2022-06-03T00:00:00"/>
    <n v="44440"/>
    <n v="2222"/>
    <x v="131"/>
    <m/>
    <s v="UK07CA3888"/>
    <n v="5"/>
  </r>
  <r>
    <s v="311465164027"/>
    <s v="05BRCPM0683F1Z0 / S S PACKAGING"/>
    <s v="05AAECM6380J1ZA / M/S M R HealthCare Pvt. Ltd."/>
    <s v="Dehradun / 248011"/>
    <s v="RAMNAGAR / 244715"/>
    <s v="311465164027 - 29/06/2022 19:27:00"/>
    <n v="270"/>
    <d v="2022-06-29T00:00:00"/>
    <n v="115129"/>
    <n v="20723.22"/>
    <x v="18"/>
    <m/>
    <s v="UK07CB4862"/>
    <n v="18"/>
  </r>
  <r>
    <s v="341460742083"/>
    <s v="05ABSFA7387F1Z0 / AASTHA MEDI SOLUTIONS"/>
    <s v="05AAECM6380J1ZA / M/S M R HealthCare Pvt. Ltd."/>
    <s v="Haridwar / 247667"/>
    <s v="RAMNAGAR / 244715"/>
    <s v="341460742083 - 18/06/2022 17:16:00"/>
    <n v="309"/>
    <d v="2022-06-18T00:00:00"/>
    <n v="44106.6"/>
    <n v="7939.18"/>
    <x v="14"/>
    <s v="PRINTED ALUMINIUM FOIL"/>
    <s v="UK18CA4303"/>
    <n v="17.999981862124944"/>
  </r>
  <r>
    <s v="491255431176"/>
    <s v="09BGUPK3260M1ZP / SHRI ENTERPRISES"/>
    <s v="05AAECM6380J1ZA / M R HEALTHCARE PVT LTD"/>
    <s v="SAHARANPUR / 247001"/>
    <s v="/ 244715"/>
    <s v="491255431176 - 03/06/2022 23:43:00"/>
    <n v="59"/>
    <d v="2022-06-03T00:00:00"/>
    <n v="46515"/>
    <n v="8372.7000000000007"/>
    <x v="21"/>
    <s v="PAPER"/>
    <s v="UK17CA4306"/>
    <n v="18.000000000000004"/>
  </r>
  <r>
    <s v="431258096594"/>
    <s v="09BGUPK3260M1ZP / SHRI ENTERPRISES"/>
    <s v="05AAECM6380J1ZA / M R HEALTHCARE PVT LTD"/>
    <s v="SAHARANPUR / 247001"/>
    <s v="/ 244715"/>
    <s v="431258096594 - 15/06/2022 22:00:00"/>
    <n v="76"/>
    <d v="2022-06-15T00:00:00"/>
    <n v="257161.5"/>
    <n v="46289.07"/>
    <x v="21"/>
    <s v="PAPER"/>
    <s v="UP11BT7725"/>
    <n v="18"/>
  </r>
  <r>
    <s v="491259818672"/>
    <s v="09BGUPK3260M1ZP / SHRI ENTERPRISES"/>
    <s v="05AAECM6380J1ZA / M R HEALTHCARE PVT LTD"/>
    <s v="SAHARANPUR / 247001"/>
    <s v="/ 244715"/>
    <s v="491259818672 - 23/06/2022 23:38:00"/>
    <n v="85"/>
    <d v="2022-06-23T00:00:00"/>
    <n v="63694"/>
    <n v="11464.92"/>
    <x v="21"/>
    <s v="PAPER"/>
    <s v="UK18CA4776"/>
    <n v="18"/>
  </r>
  <r>
    <s v="471261268546"/>
    <s v="09AVWPT8411D1Z0 / MEDZY PHARMACEUTICAL"/>
    <s v="05AAECM6380J1ZA / M/S M R HealthCare Pvt. Ltd."/>
    <s v="rudrapur / 263153"/>
    <s v="RAMNAGAR / 244715"/>
    <s v="471261268546 - 30/06/2022 09:47:00"/>
    <n v="14"/>
    <d v="2022-06-30T00:00:00"/>
    <n v="60000"/>
    <n v="10800"/>
    <x v="51"/>
    <m/>
    <s v="UK06CB2817"/>
    <n v="18"/>
  </r>
  <r>
    <s v="621434840752"/>
    <s v="24AAACV3832E1ZP / VIKRAM THERMO INDIA LIMITED"/>
    <s v="05AAECM6380J1ZA / M/S M R HealthCare Pvt. Ltd."/>
    <s v="DHANOT / 382729"/>
    <s v="RAMNAGAR / 244715"/>
    <s v="621434840752 - 27/06/2022 19:29:00"/>
    <s v="I-22-23/0482"/>
    <d v="2022-06-27T00:00:00"/>
    <n v="6750"/>
    <n v="1215"/>
    <x v="46"/>
    <s v="DRCOAT HSP"/>
    <s v="UK06CA5194"/>
    <n v="18"/>
  </r>
  <r>
    <s v="621432351524"/>
    <s v="24AACFK3554D1ZR / KUMAR INDUSTRIES"/>
    <s v="05AAECM6380J1ZA / M R HEALTHCARE PVT LTD"/>
    <s v="AHMEDABAD / 382330"/>
    <s v="Uttarakhand / 244715"/>
    <s v="621432351524 - 24/06/2022 21:49:00"/>
    <s v="KI/164/2022"/>
    <d v="2022-06-20T00:00:00"/>
    <n v="328000"/>
    <n v="59040"/>
    <x v="28"/>
    <s v="MEFENAMIC ACID IP"/>
    <s v="UK18CA4773"/>
    <n v="18"/>
  </r>
  <r>
    <s v="601430450236"/>
    <s v="26AAACA3345D1Z8 / Amisha Vinyls Pvt. Ltd."/>
    <s v="05AAECM6380J1ZA / M.R.HEALTHCARE PVT.LTD."/>
    <s v="Daman / 396210"/>
    <s v="NAINITAL / 244715"/>
    <s v="601430450236 - 14/06/2022 16:11:00"/>
    <n v="967"/>
    <d v="2022-06-14T00:00:00"/>
    <n v="264562.5"/>
    <m/>
    <x v="12"/>
    <s v="Pharma grade - 01 - Blue Tone - 0.25mm Thick - 184mm Width - Paper Core 9 - BOX - WL"/>
    <s v="DL01LX7534"/>
    <n v="0"/>
  </r>
  <r>
    <s v="701266717007"/>
    <s v="07ASZPG6153D1ZH / GUNINA PRINT PACK"/>
    <s v="05AAECM6380J1ZA / MR HEALTHCARE PVT LTD"/>
    <s v="Delhi / 110095"/>
    <s v="RAMNAGER / 244715"/>
    <s v="701266717007 - 21/06/2022 22:00:00"/>
    <n v="158"/>
    <d v="2022-06-21T00:00:00"/>
    <n v="45955"/>
    <n v="8271.9"/>
    <x v="20"/>
    <m/>
    <s v="UK18CA4773"/>
    <n v="18"/>
  </r>
  <r>
    <s v="791262919196"/>
    <s v="07AABCS2515A1Z1 / SAJBEN PLASTFILMS PVT.LTD"/>
    <s v="05AAECM6380J1ZA / M/S M R HealthCare Pvt. Ltd."/>
    <s v="BAWANA / 110039"/>
    <s v="RAMNAGAR / 244715"/>
    <s v="791262919196 - 02/06/2022 21:45:00"/>
    <n v="288"/>
    <d v="2022-06-02T00:00:00"/>
    <n v="60386.5"/>
    <n v="10869.57"/>
    <x v="6"/>
    <m/>
    <s v="UK18TA0659"/>
    <n v="18"/>
  </r>
  <r>
    <s v="721268319117"/>
    <s v="07BPSPA7872N2Z1 / SHARVA INTERNATIONAL"/>
    <s v="05AAECM6380J1ZA / M/S M R HealthCare Pvt. Ltd."/>
    <s v="West Delhi / 110015"/>
    <s v="RAMNAGAR / 244715"/>
    <s v="721268319117 - 30/06/2022 00:50:00"/>
    <s v="SI-078/22-23"/>
    <d v="2022-06-29T00:00:00"/>
    <n v="576075.5"/>
    <n v="103693.59"/>
    <x v="1"/>
    <m/>
    <s v="UK18CA3698"/>
    <n v="18"/>
  </r>
  <r>
    <s v="761267447664"/>
    <s v="07AZSPK2293G1ZZ / ROHIT ELECTRICALS"/>
    <s v="05AAECM6380J1ZA / M/S M R HealthCare Pvt. Ltd."/>
    <s v="Central Delhi / 110006"/>
    <s v="RAMNAGAR / 244715"/>
    <s v="761267447664 - 28/06/2022 03:30:00"/>
    <s v="RE-225/22-23"/>
    <d v="2022-06-24T00:00:00"/>
    <n v="64900"/>
    <n v="11682"/>
    <x v="127"/>
    <m/>
    <s v="UK04CB9246"/>
    <n v="18"/>
  </r>
  <r>
    <s v="791265232764"/>
    <s v="07AATFD3714H1ZB / DIWAN CHAND SAHANI AND SONS LLP"/>
    <s v="05AAECM6380J1ZA / M/S M R HealthCare Pvt. Ltd."/>
    <s v="Central Delhi / 110005"/>
    <s v="RAMNAGAR / 244715"/>
    <s v="791265232764 - 14/06/2022 21:12:00"/>
    <s v="DCS/22-23/0399"/>
    <d v="2022-06-14T00:00:00"/>
    <n v="125250"/>
    <n v="22545"/>
    <x v="68"/>
    <s v="10 KG BAG"/>
    <s v="UK18CA4773"/>
    <n v="18"/>
  </r>
  <r>
    <s v="761263683994"/>
    <s v="07AAACR6057R1ZR / ROHAN PHARMA PVT LTD"/>
    <s v="05AAECM6380J1ZA / MRHEALTHCARE PVT LTD"/>
    <s v="DELHI / 110039"/>
    <s v="RAM NAGAR / 244715"/>
    <s v="761263683994 - 06/06/2022 21:28:00"/>
    <s v="RPPL/0835/22-23"/>
    <d v="2022-06-06T00:00:00"/>
    <n v="280000"/>
    <n v="50400"/>
    <x v="57"/>
    <m/>
    <s v="UK18CA6361"/>
    <n v="18"/>
  </r>
  <r>
    <s v="721262795355"/>
    <s v="07AAGFL4546C1ZI / LAXMI PRINT N PACK"/>
    <s v="05AAECM6380J1ZA / M/S M R HealthCare Pvt. Ltd."/>
    <s v="New Delhi / 110028"/>
    <s v="RAMNAGAR / 244715"/>
    <s v="721262795355 - 02/06/2022 21:45:00"/>
    <s v="2022-2023/164"/>
    <d v="2022-06-01T00:00:00"/>
    <n v="57682"/>
    <n v="0"/>
    <x v="4"/>
    <s v="BOX"/>
    <s v="UK18TA0659"/>
    <n v="0"/>
  </r>
  <r>
    <s v="701268162726"/>
    <s v="07ASZPG6153D1ZH / GUNINA PRINT PACK"/>
    <s v="05AAECM6380J1ZA / MR HEALTHCARE PVT LTD"/>
    <s v="Delhi / 110095"/>
    <s v="RAMNAGER / 244715"/>
    <s v="701268162726 - 28/06/2022 21:53:00"/>
    <n v="172"/>
    <d v="2022-06-28T00:00:00"/>
    <n v="62727.4"/>
    <n v="11290.93"/>
    <x v="20"/>
    <m/>
    <s v="UK18CA4773"/>
    <n v="17.999996811600671"/>
  </r>
  <r>
    <s v="711265440206"/>
    <s v="07AAACR6057R1ZR / ROHAN PHARMA PVT LTD"/>
    <s v="05AAECM6380J1ZA / MRHEALTHCARE PVT LTD"/>
    <s v="DELHI / 110039"/>
    <s v="RAM NAGAR / 244715"/>
    <s v="711265440206 - 16/06/2022 21:39:00"/>
    <s v="RPPL/0987/22-23"/>
    <d v="2022-06-15T00:00:00"/>
    <n v="42000"/>
    <n v="7560"/>
    <x v="5"/>
    <m/>
    <s v="UK18CA6669"/>
    <n v="18"/>
  </r>
  <r>
    <s v="731264769504"/>
    <s v="07AESPT2022H1ZC / Om International"/>
    <s v="05AAECM6380J1ZA / M/S M R HealthCare Pvt. Ltd."/>
    <s v="Central Delhi / 110005"/>
    <s v="RAMNAGAR / 244715"/>
    <s v="731264769504 - 11/06/2022 22:10:00"/>
    <n v="446"/>
    <d v="2022-06-11T00:00:00"/>
    <n v="72000"/>
    <n v="12960"/>
    <x v="128"/>
    <s v="Diamond Sahpe D Tooling"/>
    <s v="UK18CA2216"/>
    <n v="18"/>
  </r>
  <r>
    <s v="701263434518"/>
    <s v="07AAGFL4546C1ZI / LAXMI PRINT N PACK"/>
    <s v="05AAECM6380J1ZA / M/S M R HealthCare Pvt. Ltd."/>
    <s v="New Delhi / 110028"/>
    <s v="RAMNAGAR / 244715"/>
    <s v="701263434518 - 06/06/2022 21:04:00"/>
    <s v="2022-2023/174"/>
    <d v="2022-06-04T00:00:00"/>
    <n v="158025"/>
    <n v="0"/>
    <x v="4"/>
    <s v="BOX"/>
    <s v="UK18CA6361"/>
    <n v="0"/>
  </r>
  <r>
    <s v="701262770273"/>
    <s v="08AACCA7721R1Z7 / ALKA LABORATORIES PVT LTD"/>
    <s v="05AAECM6380J1ZA / M R HEALTHCARE PVT LTD"/>
    <s v="BHIWADI / 301019"/>
    <s v="Ramnagar / 244715"/>
    <s v="701262770273 - 01/06/2022 15:24:00"/>
    <s v="ALPL22230182"/>
    <d v="2022-06-01T00:00:00"/>
    <n v="116875"/>
    <n v="21037.5"/>
    <x v="28"/>
    <m/>
    <s v="UK18TA0659"/>
    <n v="18"/>
  </r>
  <r>
    <s v="731274135641"/>
    <s v="08AGTPB5912H1ZA / ONS PHARMACEUTICAL"/>
    <s v="05AAECM6380J1ZA / M/S M R HealthCare Pvt. Ltd."/>
    <s v="Jaipur / 302003"/>
    <s v="RAMNAGAR / 244715"/>
    <s v="731274135641 - 28/07/2022 21:10:00"/>
    <s v="22-23/001079"/>
    <d v="2022-07-28T00:00:00"/>
    <n v="223611.75"/>
    <n v="40250.11"/>
    <x v="29"/>
    <m/>
    <s v="UK06CB1942"/>
    <n v="17.999997763981543"/>
  </r>
  <r>
    <s v="751272015648"/>
    <s v="07AATFD3714H1ZB / DIWAN CHAND SAHANI AND SONS LLP"/>
    <s v="05AAECM6380J1ZA / M/S M R HealthCare Pvt. Ltd."/>
    <s v="Central Delhi / 110005"/>
    <s v="RAMNAGAR / 244715"/>
    <s v="751272015648 - 19/07/2022 21:57:00"/>
    <s v="DCS/22-23/0621"/>
    <d v="2022-07-18T00:00:00"/>
    <n v="210680"/>
    <n v="37922.400000000001"/>
    <x v="68"/>
    <s v="10 KG BAG"/>
    <s v="UK18CA5709"/>
    <n v="18"/>
  </r>
  <r>
    <s v="741269952227"/>
    <s v="07AAGFL4546C1ZI / LAXMI PRINT N PACK"/>
    <s v="05AAECM6380J1ZA / M/S M R HealthCare Pvt. Ltd."/>
    <s v="New Delhi / 110028"/>
    <s v="RAMNAGAR / 244715"/>
    <s v="741269952227 - 09/07/2022 20:55:00"/>
    <s v="2022-23/270/271"/>
    <d v="2022-07-07T00:00:00"/>
    <n v="122912"/>
    <n v="0"/>
    <x v="23"/>
    <s v="BOX"/>
    <s v="UK18CA4773"/>
    <n v="0"/>
  </r>
  <r>
    <s v="731269011893"/>
    <s v="07AAQFC6975N1ZH / CRETA PACKAGING"/>
    <s v="05AAECM6380J1ZA / M/S M R HealthCare Pvt. Ltd."/>
    <s v="North West Delhi / 110042"/>
    <s v="RAMNAGAR / 244715"/>
    <s v="731269011893 - 02/07/2022 22:11:00"/>
    <s v="22-23/33"/>
    <d v="2022-07-02T00:00:00"/>
    <n v="54711.5"/>
    <n v="9848.07"/>
    <x v="23"/>
    <m/>
    <s v="UK18CA4767"/>
    <n v="18"/>
  </r>
  <r>
    <s v="751274470663"/>
    <s v="07AZSPK2293G1ZZ / ROHIT ELECTRICALS"/>
    <s v="05AAECM6380J1ZA / M/S M R HealthCare Pvt. Ltd."/>
    <s v="Central Delhi / 110006"/>
    <s v="RAMNAGAR / 244715"/>
    <s v="751274470663 - 31/07/2022 06:26:00"/>
    <s v="RE-322/22-23"/>
    <d v="2022-07-30T00:00:00"/>
    <n v="62522"/>
    <n v="11253.96"/>
    <x v="133"/>
    <m/>
    <s v="HR38S7873"/>
    <n v="18"/>
  </r>
  <r>
    <s v="721274124352"/>
    <s v="07ASZPG6153D1ZH / GUNINA PRINT PACK"/>
    <s v="05AAECM6380J1ZA / MR HEALTHCARE PVT LTD"/>
    <s v="Delhi / 110095"/>
    <s v="RAMNAGER / 244715"/>
    <s v="721274124352 - 30/07/2022 19:36:00"/>
    <n v="227"/>
    <d v="2022-07-28T00:00:00"/>
    <n v="86571.5"/>
    <n v="15582.87"/>
    <x v="20"/>
    <m/>
    <s v="UK18CA4773"/>
    <n v="18"/>
  </r>
  <r>
    <s v="721272865396"/>
    <s v="07AAACR6057R1ZR / ROHAN PHARMA PVT LTD"/>
    <s v="05AAECM6380J1ZA / MRHEALTHCARE PVT LTD"/>
    <s v="DELHI / 110039"/>
    <s v="RAM NAGAR / 244715"/>
    <s v="721272865396 - 24/07/2022 12:34:00"/>
    <s v="RPPL/1515/22-23"/>
    <d v="2022-07-22T00:00:00"/>
    <n v="53200"/>
    <n v="9576"/>
    <x v="5"/>
    <m/>
    <s v="UK06CB5759"/>
    <n v="18"/>
  </r>
  <r>
    <s v="781272196319"/>
    <s v="07AAACR6057R1ZR / ROHAN PHARMA PVT LTD"/>
    <s v="05AAECM6380J1ZA / MRHEALTHCARE PVT LTD"/>
    <s v="DELHI / 110039"/>
    <s v="RAM NAGAR / 244715"/>
    <s v="781272196319 - 21/07/2022 21:52:00"/>
    <s v="RPPL/1467/22-23"/>
    <d v="2022-07-19T00:00:00"/>
    <n v="84000"/>
    <n v="15120"/>
    <x v="5"/>
    <m/>
    <s v="UK18CA4767"/>
    <n v="18"/>
  </r>
  <r>
    <s v="771272195467"/>
    <s v="07AAACR6057R1ZR / ROHAN PHARMA PVT LTD"/>
    <s v="05AAECM6380J1ZA / MRHEALTHCARE PVT LTD"/>
    <s v="DELHI / 110039"/>
    <s v="RAM NAGAR / 244715"/>
    <s v="771272195467 - 21/07/2022 21:52:00"/>
    <s v="RPPL/1468/22-23"/>
    <d v="2022-07-19T00:00:00"/>
    <n v="80500"/>
    <n v="14490"/>
    <x v="5"/>
    <m/>
    <s v="UK18CA4767"/>
    <n v="18"/>
  </r>
  <r>
    <s v="791271909159"/>
    <s v="07AABCS2515A1Z1 / SAJBEN PLASTFILMS PVT.LTD"/>
    <s v="05AAECM6380J1ZA / M/S M R HealthCare Pvt. Ltd."/>
    <s v="BAWANA / 110039"/>
    <s v="RAMNAGAR / 244715"/>
    <s v="791271909159 - 19/07/2022 21:57:00"/>
    <n v="565"/>
    <d v="2022-07-18T00:00:00"/>
    <n v="124610.25"/>
    <n v="22429.85"/>
    <x v="6"/>
    <m/>
    <s v="UK18CA4773"/>
    <n v="18.00000401251101"/>
  </r>
  <r>
    <s v="731271962279"/>
    <s v="07AAACR6057R1ZR / ROHAN PHARMA PVT LTD"/>
    <s v="05AAECM6380J1ZA / MRHEALTHCARE PVT LTD"/>
    <s v="DELHI / 110039"/>
    <s v="RAM NAGAR / 244715"/>
    <s v="731271962279 - 19/07/2022 21:57:00"/>
    <s v="RPPL/1445/22-23"/>
    <d v="2022-07-18T00:00:00"/>
    <n v="48000"/>
    <n v="8640"/>
    <x v="5"/>
    <m/>
    <s v="UK18CA5709"/>
    <n v="18"/>
  </r>
  <r>
    <s v="701270382862"/>
    <s v="08AABCU7729G1Z3 / US AMINO PVT. LTD."/>
    <s v="05AAECM6380J1ZA / M.R. Healthcare Pvt Ltd"/>
    <s v="Fatehnagar / 313001"/>
    <s v="Ramnagar / 244715"/>
    <s v="701270382862 - 13/07/2022 18:27:00"/>
    <s v="UAPL/22-23/66"/>
    <d v="2022-07-09T00:00:00"/>
    <n v="225000"/>
    <n v="40500"/>
    <x v="33"/>
    <s v="Ursodeoxycholic Acid Ip"/>
    <s v="UK06CB7258"/>
    <n v="18"/>
  </r>
  <r>
    <s v="751269879396"/>
    <s v="07ABECS4075R1ZM / SAMCHEM INDIA PRIVATE LIMITED"/>
    <s v="05AAECM6380J1ZA / M/S M R HealthCare Pvt. Ltd."/>
    <s v="New Delhi / 110015"/>
    <s v="RAMNAGAR / 244715"/>
    <s v="751269879396 - 08/07/2022 02:32:00"/>
    <s v="SIPL/22-23/929"/>
    <d v="2022-07-07T00:00:00"/>
    <n v="70570"/>
    <n v="12702.6"/>
    <x v="134"/>
    <s v="RAW MATERIAL"/>
    <s v="UA08J1506"/>
    <n v="18"/>
  </r>
  <r>
    <s v="741269071283"/>
    <s v="07AAGFL4546C1ZI / LAXMI PRINT N PACK"/>
    <s v="05AAECM6380J1ZA / M/S M R HealthCare Pvt. Ltd."/>
    <s v="New Delhi / 110028"/>
    <s v="RAMNAGAR / 244715"/>
    <s v="741269071283 - 05/07/2022 22:14:00"/>
    <s v="2022-2023/259"/>
    <d v="2022-07-02T00:00:00"/>
    <n v="260475"/>
    <n v="0"/>
    <x v="23"/>
    <s v="BOX"/>
    <s v="UK18CA5709"/>
    <n v="0"/>
  </r>
  <r>
    <s v="751268628124"/>
    <s v="07AAACR6057R1ZR / ROHAN PHARMA PVT LTD"/>
    <s v="05AAECM6380J1ZA / MRHEALTHCARE PVT LTD"/>
    <s v="DELHI / 110039"/>
    <s v="RAM NAGAR / 244715"/>
    <s v="751268628124 - 02/07/2022 22:11:00"/>
    <s v="RPPL/1214/22-23"/>
    <d v="2022-06-30T00:00:00"/>
    <n v="280000"/>
    <n v="50400"/>
    <x v="57"/>
    <m/>
    <s v="UK18CA4767"/>
    <n v="18"/>
  </r>
  <r>
    <s v="741273905840"/>
    <s v="07AAAFH4633E1ZS / Hindustan Refrigeration Stores-Delhi-(- (from 1-Apr-2022)"/>
    <s v="05AAECM6380J1ZA / MR HEALTH CARE PVT LTD-UTTRAKHAND"/>
    <s v="delhi / 110002"/>
    <s v="UTTRAKHAND / 244715"/>
    <s v="741273905840 - 31/07/2022 06:26:00"/>
    <s v="HRS/22-23/36408"/>
    <d v="2022-07-27T00:00:00"/>
    <n v="254200"/>
    <n v="45756"/>
    <x v="135"/>
    <s v="DFS-COMPR SM185-4RG ROTOLOCK"/>
    <s v="HR38S7873"/>
    <n v="18"/>
  </r>
  <r>
    <s v="751274010373"/>
    <s v="07AAACR6057R1ZR / ROHAN PHARMA PVT LTD"/>
    <s v="05AAECM6380J1ZA / MRHEALTHCARE PVT LTD"/>
    <s v="DELHI / 110039"/>
    <s v="RAM NAGAR / 244715"/>
    <s v="751274010373 - 28/07/2022 21:37:00"/>
    <s v="RPPL/1604/22-23"/>
    <d v="2022-07-28T00:00:00"/>
    <n v="42763"/>
    <n v="7697.34"/>
    <x v="1"/>
    <m/>
    <s v="UK18CA4767"/>
    <n v="18"/>
  </r>
  <r>
    <s v="701273386535"/>
    <s v="07AAQFC6975N1ZH / CRETA PACKAGING"/>
    <s v="05AAECM6380J1ZA / M/S M R HealthCare Pvt. Ltd."/>
    <s v="North West Delhi / 110042"/>
    <s v="RAMNAGAR / 244715"/>
    <s v="701273386535 - 27/07/2022 19:57:00"/>
    <s v="22-23/51"/>
    <d v="2022-07-25T00:00:00"/>
    <n v="135439"/>
    <n v="24379.02"/>
    <x v="23"/>
    <m/>
    <s v="UK18CA5709"/>
    <n v="18"/>
  </r>
  <r>
    <s v="741270095272"/>
    <s v="07AAACR6057R1ZR / ROHAN PHARMA PVT LTD"/>
    <s v="05AAECM6380J1ZA / MRHEALTHCARE PVT LTD"/>
    <s v="DELHI / 110039"/>
    <s v="RAM NAGAR / 244715"/>
    <s v="741270095272 - 09/07/2022 21:52:00"/>
    <s v="RPPL/1306/22-23"/>
    <d v="2022-07-08T00:00:00"/>
    <n v="46875"/>
    <n v="8437.5"/>
    <x v="5"/>
    <m/>
    <s v="UK18CA4773"/>
    <n v="18"/>
  </r>
  <r>
    <s v="721268738846"/>
    <s v="07ABECS4075R1ZM / SAMCHEM INDIA PRIVATE LIMITED"/>
    <s v="05AAECM6380J1ZA / M/S M R HealthCare Pvt. Ltd."/>
    <s v="New Delhi / 110015"/>
    <s v="RAMNAGAR / 244715"/>
    <s v="721268738846 - 01/07/2022 22:34:00"/>
    <s v="SIPL/22-23/837"/>
    <d v="2022-07-01T00:00:00"/>
    <n v="76566"/>
    <n v="13781.88"/>
    <x v="1"/>
    <s v="RAW MATERIAL"/>
    <s v="HR38AA4437"/>
    <n v="18"/>
  </r>
  <r>
    <s v="621445998008"/>
    <s v="24AADFU5760A1ZI / UNIWORTH ENTERPRISES LLP"/>
    <s v="05AAECM6380J1ZA / M R HEALTHCARE PRIVATE LIMITED"/>
    <s v="AHMEDABAD / 382170"/>
    <s v="NAINITAL / 244715"/>
    <s v="621445998008 - 28/07/2022 15:27:00"/>
    <s v="UE1232200903"/>
    <d v="2022-07-28T00:00:00"/>
    <n v="40620.28"/>
    <n v="7311.72"/>
    <x v="12"/>
    <s v="PK PH PVC 0.250MM OP YELLOW 0120MM"/>
    <m/>
    <n v="18.000171342984341"/>
  </r>
  <r>
    <s v="681445945411"/>
    <s v="26AAACA3345D1Z8 / Amisha Vinyls Pvt. Ltd."/>
    <s v="05AAECM6380J1ZA / M.R.HEALTHCARE PVT.LTD."/>
    <s v="Daman / 396210"/>
    <s v="NAINITAL / 244715"/>
    <s v="681445945411 - 28/07/2022 14:04:00"/>
    <n v="1607"/>
    <d v="2022-07-28T00:00:00"/>
    <n v="157472"/>
    <m/>
    <x v="12"/>
    <s v="Pharma grade - 01 - Blue Tone - 0.25mm Thick - 158mm Width - Paper Core 9 - BOX - WL"/>
    <s v="DL01LX7534"/>
    <n v="0"/>
  </r>
  <r>
    <s v="671445136322"/>
    <s v="24AADFU5760A1ZI / UNIWORTH ENTERPRISES LLP"/>
    <s v="05AAECM6380J1ZA / M R HEALTHCARE PRIVATE LIMITED"/>
    <s v="AHMEDABAD / 382170"/>
    <s v="NAINITAL / 244715"/>
    <s v="671445136322 - 26/07/2022 15:57:00"/>
    <s v="UE1232200863"/>
    <d v="2022-07-26T00:00:00"/>
    <n v="366231.33"/>
    <n v="65921.67"/>
    <x v="136"/>
    <s v="PK OPA/ALU/PVC 25/50/60 0142MM"/>
    <s v="UK06CB6893"/>
    <n v="18.000008355374728"/>
  </r>
  <r>
    <s v="681444837010"/>
    <s v="26AAACA3345D1Z8 / Amisha Vinyls Pvt. Ltd."/>
    <s v="05AAECM6380J1ZA / M.R.HEALTHCARE PVT.LTD."/>
    <s v="Daman / 396210"/>
    <s v="NAINITAL / 244715"/>
    <s v="681444837010 - 25/07/2022 19:03:00"/>
    <n v="1557"/>
    <d v="2022-07-25T00:00:00"/>
    <n v="37412.76"/>
    <m/>
    <x v="12"/>
    <s v="Pharma grade - 01 - Blue colour - 0.25mm Thick - 208mm Width - Paper Core 9 - BOX - WL"/>
    <s v="UK06CA1176"/>
    <n v="0"/>
  </r>
  <r>
    <s v="621442079463"/>
    <s v="24AALCP5224D1ZO / PRACHEM LABORATORIES PRIVATE LIMITED"/>
    <s v="05AAECM6380J1ZA / M R HEALTHCARE PVT LTD"/>
    <s v="CHHATRAL / 382729"/>
    <s v="RAMNAGAR / 244715"/>
    <s v="621442079463 - 18/07/2022 16:08:00"/>
    <s v="PL22230605"/>
    <d v="2022-07-18T00:00:00"/>
    <n v="78183.399999999994"/>
    <n v="14073.01"/>
    <x v="1"/>
    <s v="CLOBETASOL PROPIONATE USP"/>
    <s v="UK18CA9918"/>
    <n v="17.999997441912225"/>
  </r>
  <r>
    <s v="631439957670"/>
    <s v="24AAACV3832E1ZP / VIKRAM THERMO INDIA LIMITED"/>
    <s v="05AAECM6380J1ZA / M/S M R HealthCare Pvt. Ltd."/>
    <s v="DHANOT / 382729"/>
    <s v="RAMNAGAR / 244715"/>
    <s v="631439957670 - 12/07/2022 19:05:00"/>
    <s v="I-22-23/0575"/>
    <d v="2022-07-12T00:00:00"/>
    <n v="27000"/>
    <n v="4860"/>
    <x v="46"/>
    <s v="DRCOAT HSP"/>
    <s v="UK18CA6153"/>
    <n v="18"/>
  </r>
  <r>
    <s v="641436870430"/>
    <s v="24AAACE8706E1ZZ / ESPEE PHARMA CHEM PRIVATE LIMITED"/>
    <s v="05AAECM6380J1ZA / M/S M R HealthCare Pvt. Ltd."/>
    <s v="Ahmedabad / 380006"/>
    <s v="RAMNAGAR / 244715"/>
    <s v="641436870430 - 02/07/2022 19:26:00"/>
    <s v="GST0314"/>
    <d v="2022-07-01T00:00:00"/>
    <n v="900531"/>
    <n v="162095.57999999999"/>
    <x v="137"/>
    <s v="HYOSCINE BUTYL"/>
    <s v="UK18CA6153"/>
    <n v="17.999999999999996"/>
  </r>
  <r>
    <s v="531389379181"/>
    <s v="33BGRPA2055D1ZV / D.K. ENTERPRISES"/>
    <s v="05AAECM6380J1ZA / M.R.HEALTHCARE PVT. LTD"/>
    <s v="CHENNAI / 600110"/>
    <s v="DIST.NAINITAL / 244715"/>
    <s v="531389379181 - 14/07/2022 15:32:00"/>
    <s v="SAL/000836"/>
    <d v="2022-07-13T00:00:00"/>
    <n v="216250"/>
    <n v="38925"/>
    <x v="26"/>
    <s v="PVP K-30"/>
    <s v="UK19CA0142"/>
    <n v="18"/>
  </r>
  <r>
    <s v="461261956635"/>
    <s v="09BGUPK3260M1ZP / SHRI ENTERPRISES"/>
    <s v="05AAECM6380J1ZA / M R HEALTHCARE PVT LTD"/>
    <s v="SAHARANPUR / 247001"/>
    <s v="/ 244715"/>
    <s v="461261956635 - 03/07/2022 00:34:00"/>
    <n v="93"/>
    <d v="2022-07-02T00:00:00"/>
    <n v="66518"/>
    <n v="11973.24"/>
    <x v="21"/>
    <s v="PAPER"/>
    <s v="UK18CA3698"/>
    <n v="18"/>
  </r>
  <r>
    <s v="481262594469"/>
    <s v="09BGUPK3260M1ZP / SHRI ENTERPRISES"/>
    <s v="05AAECM6380J1ZA / M R HEALTHCARE PVT LTD"/>
    <s v="SAHARANPUR / 247001"/>
    <s v="/ 244715"/>
    <s v="481262594469 - 06/07/2022 23:17:00"/>
    <n v="97"/>
    <d v="2022-07-06T00:00:00"/>
    <n v="208385.05"/>
    <n v="37509.31"/>
    <x v="21"/>
    <s v="PAPER"/>
    <s v="UK18CA4767"/>
    <n v="18.000000479880875"/>
  </r>
  <r>
    <s v="411265238167"/>
    <s v="09AVWPT8411D1Z0 / MEDZY PHARMACEUTICAL"/>
    <s v="05AAECM6380J1ZA / M/S M R HealthCare Pvt. Ltd."/>
    <s v="Ghaziabad / 263153"/>
    <s v="RAMNAGAR / 244715"/>
    <s v="411265238167 - 19/07/2022 09:39:00"/>
    <n v="17"/>
    <d v="2022-07-19T00:00:00"/>
    <n v="75000"/>
    <n v="13500"/>
    <x v="25"/>
    <m/>
    <s v="UK06CB5017"/>
    <n v="18"/>
  </r>
  <r>
    <s v="361476027590"/>
    <s v="05AGOPJ9814D1ZC / Vatsalya Trading Corporation - FY 22-23"/>
    <s v="05AAECM6380J1ZA / M.R.Healthcare Pvt Ltd"/>
    <s v="Dehradun / 248001"/>
    <s v="Ramnagar / 247415"/>
    <s v="361476027590 - 27/07/2022 17:24:00"/>
    <s v="VTC/22-23/381"/>
    <d v="2022-07-27T00:00:00"/>
    <n v="57800"/>
    <n v="10404"/>
    <x v="96"/>
    <s v="Acetonitrile HPLC 2.5 Ltr"/>
    <s v="UK07CB8126"/>
    <n v="18"/>
  </r>
  <r>
    <s v="311470400239"/>
    <s v="05ABSFA7387F1Z0 / AASTHA MEDI SOLUTIONS"/>
    <s v="05AAECM6380J1ZA / M/S M R HealthCare Pvt. Ltd."/>
    <s v="Haridwar / 247667"/>
    <s v="RAMNAGAR / 244715"/>
    <s v="311470400239 - 13/07/2022 15:12:00"/>
    <n v="412"/>
    <d v="2022-07-13T00:00:00"/>
    <n v="63520.55"/>
    <n v="11433.7"/>
    <x v="14"/>
    <s v="PRINTED ALUMINUM FOIL"/>
    <s v="UK18CA4303"/>
    <n v="18.000001574293673"/>
  </r>
  <r>
    <s v="311468650239"/>
    <s v="05AASFR5565R1Z4 / M/S ROORKEE FOIL"/>
    <s v="05AAECM6380J1ZA / M/S M R HealthCare Pvt. Ltd."/>
    <s v="Haridwar / 247667"/>
    <s v="RAMNAGAR / 244715"/>
    <s v="311468650239 - 08/07/2022 22:58:00"/>
    <s v="RK/22-23/0763"/>
    <d v="2022-07-08T00:00:00"/>
    <n v="48504.6"/>
    <n v="8730.82"/>
    <x v="20"/>
    <s v="BLISTER FOIL PRINTED"/>
    <s v="UK17CA4322"/>
    <n v="17.999983506718952"/>
  </r>
  <r>
    <s v="341477351744"/>
    <s v="05AAKFV1624K1Z2 / VYALI INTERNATIONAL"/>
    <s v="05AAECM6380J1ZA / M.R HEALTHCARE PVT LTD KASHIPUR"/>
    <s v="ROORKEE / 247667"/>
    <s v="RAMNAGAR / 244715"/>
    <s v="341477351744 - 31/07/2022 01:12:00"/>
    <s v="RRK/A000399"/>
    <d v="2022-07-30T00:00:00"/>
    <n v="384000"/>
    <n v="69120"/>
    <x v="1"/>
    <s v="29420090"/>
    <s v="UK17CA4284"/>
    <n v="18"/>
  </r>
  <r>
    <s v="381475915388"/>
    <s v="05AABCA8568R1ZZ / ABS Mercantiles Pvt. Ltd."/>
    <s v="05AAECM6380J1ZA / M.R. HEALTHCARE PVT. LTD."/>
    <s v="UTTARAKHAND / 247667"/>
    <s v="Ram Nagar / 244715"/>
    <s v="381475915388 - 27/07/2022 23:41:00"/>
    <s v="ABSR/22-23/0245"/>
    <d v="2022-07-27T00:00:00"/>
    <n v="979495"/>
    <n v="176310"/>
    <x v="1"/>
    <s v="Itraconazole Pellets 22% BP"/>
    <s v="UK17CA4358"/>
    <n v="18.000091884083126"/>
  </r>
  <r>
    <s v="341475912907"/>
    <s v="05ALGPC9789H1ZQ / OM PHARMACEUTICALS"/>
    <s v="05AAECM6380J1ZA / M/S M R HealthCare Pvt. Ltd."/>
    <s v="Haridwar / 249402"/>
    <s v="RAMNAGAR / 244715"/>
    <s v="341475912907 - 27/07/2022 21:17:00"/>
    <s v="OP/00152/2022-23"/>
    <d v="2022-07-27T00:00:00"/>
    <n v="172350"/>
    <n v="31023"/>
    <x v="26"/>
    <s v="CROSSPOVIDONE XL 10"/>
    <s v="UK17CA4358"/>
    <n v="18"/>
  </r>
  <r>
    <s v="311473368736"/>
    <s v="06AYEPS2518M1Z4 / FORTUNE SOURCING"/>
    <s v="05AAECM6380J1ZA / M/S M R HealthCare Pvt. Ltd."/>
    <s v="Gurugram / 122001"/>
    <s v="RAMNAGAR / 244715"/>
    <s v="311473368736 - 22/07/2022 21:56:00"/>
    <s v="FS/0108//2022-23"/>
    <d v="2022-07-20T00:00:00"/>
    <n v="54117"/>
    <n v="9741.06"/>
    <x v="10"/>
    <s v="LAMI TUBE"/>
    <s v="HR55AL8196"/>
    <n v="18"/>
  </r>
  <r>
    <s v="331473630909"/>
    <s v="06AFVPG3592H1Z1 / SHREE SHYAM PACKAGING"/>
    <s v="05AAECM6380J1ZA / M/S M R HealthCare Pvt. Ltd."/>
    <s v="Jhajjar / 124507"/>
    <s v="RAMNAGAR / 244715"/>
    <s v="331473630909 - 21/07/2022 15:30:00"/>
    <s v="SSP/22-23/314"/>
    <d v="2022-07-21T00:00:00"/>
    <n v="54641.599999999999"/>
    <n v="9835.49"/>
    <x v="64"/>
    <m/>
    <s v="UK18CA4767"/>
    <n v="18.000003660214929"/>
  </r>
  <r>
    <s v="311472942023"/>
    <s v="05AAQCS5989R1ZZ / M/S SATYAM SHIVAM PACKAGING PRIVATE LIMITED"/>
    <s v="05AAECM6380J1ZA / M/S M R HealthCare Pvt. Ltd."/>
    <s v="Udham Singh Nagar / 263153"/>
    <s v="RAMNAGAR / 244715"/>
    <s v="311472942023 - 19/07/2022 20:15:00"/>
    <s v="SSP/22-23/589"/>
    <d v="2022-07-19T00:00:00"/>
    <n v="60393"/>
    <n v="10870.74"/>
    <x v="18"/>
    <s v="345X345X170 MM (7 PLY C BOX)"/>
    <s v="UK06CB0108"/>
    <n v="18"/>
  </r>
  <r>
    <s v="391472346753"/>
    <s v="05ABNPA6018N2ZK / Manish Pharma"/>
    <s v="05AAECM6380J1ZA / MR HEALTHCARE PVT LTD"/>
    <s v="ROORKEE / 247667"/>
    <s v="KOSI ROAD,RAMNAGAR / 244715"/>
    <s v="391472346753 - 19/07/2022 17:48:00"/>
    <s v="MPR/22-23/1409"/>
    <d v="2022-07-18T00:00:00"/>
    <n v="1260630"/>
    <n v="226913.4"/>
    <x v="33"/>
    <s v="OFLOXACIN IP ( MAKE AARTI DRUG )"/>
    <s v="UK18CA0203"/>
    <n v="18"/>
  </r>
  <r>
    <s v="321470958421"/>
    <s v="05AABCA8568R1ZZ / ABS Mercantiles Pvt. Ltd."/>
    <s v="05AAECM6380J1ZA / M.R. HEALTHCARE PVT. LTD."/>
    <s v="UTTARAKHAND / 247667"/>
    <s v="Ram Nagar / 244715"/>
    <s v="321470958421 - 15/07/2022 00:02:00"/>
    <s v="ABSR/22-23/0214"/>
    <d v="2022-07-14T00:00:00"/>
    <n v="148500"/>
    <n v="26730"/>
    <x v="138"/>
    <s v="Sildenafil Citrate IP"/>
    <s v="UK18CA4303"/>
    <n v="18"/>
  </r>
  <r>
    <s v="321470452527"/>
    <s v="05ABEFS5359M1ZP / M/S S.S. Industries"/>
    <s v="05AAECM6380J1ZA / M/S M R HealthCare Pvt. Ltd."/>
    <s v="Dehradun / 248011"/>
    <s v="RAMNAGAR / 244715"/>
    <s v="321470452527 - 14/07/2022 11:47:00"/>
    <n v="830"/>
    <d v="2022-07-13T00:00:00"/>
    <n v="70466.8"/>
    <n v="12684.02"/>
    <x v="4"/>
    <m/>
    <s v="UK18CA4767"/>
    <n v="17.999994323567979"/>
  </r>
  <r>
    <s v="381470018624"/>
    <s v="06AYEPS2518M1Z4 / FORTUNE SOURCING"/>
    <s v="05AAECM6380J1ZA / M/S M R HealthCare Pvt. Ltd."/>
    <s v="Gurugram / 122001"/>
    <s v="RAMNAGAR / 244715"/>
    <s v="381470018624 - 13/07/2022 22:23:00"/>
    <s v="FS/0099/2022-23"/>
    <d v="2022-07-12T00:00:00"/>
    <n v="79220.5"/>
    <n v="14259.69"/>
    <x v="10"/>
    <s v="LAMI TUBE"/>
    <s v="UK18CA1202"/>
    <n v="18"/>
  </r>
  <r>
    <s v="391470002435"/>
    <s v="05AABCA8568R1ZZ / ABS Mercantiles Pvt. Ltd."/>
    <s v="05AAECM6380J1ZA / M.R. HEALTHCARE PVT. LTD."/>
    <s v="UTTARAKHAND / 247667"/>
    <s v="Ram Nagar / 244715"/>
    <s v="391470002435 - 13/07/2022 00:29:00"/>
    <s v="ABSR/22-23/0201"/>
    <d v="2022-07-12T00:00:00"/>
    <n v="125999.5"/>
    <n v="22680"/>
    <x v="86"/>
    <s v="Rabeprazole EC 20 mg + Levosulpiride SR 75 mg Pellets"/>
    <s v="UK17CA4303"/>
    <n v="18.000071428854877"/>
  </r>
  <r>
    <s v="321469678233"/>
    <s v="05ABNFA2675D1ZK / AURA PACKAGING"/>
    <s v="05AAECM6380J1ZA / M/S M R HealthCare Pvt. Ltd."/>
    <s v="Udham Singh Nagar / 263153"/>
    <s v="RAMNAGAR / 244715"/>
    <s v="321469678233 - 11/07/2022 18:59:00"/>
    <s v="AP/2022-23/00229"/>
    <d v="2022-07-11T00:00:00"/>
    <n v="62676.25"/>
    <n v="11281.72"/>
    <x v="23"/>
    <m/>
    <s v="UK06CB7086"/>
    <n v="17.99999202249656"/>
  </r>
  <r>
    <s v="321469044591"/>
    <s v="05ABNPA6018N2ZK / Manish Pharma"/>
    <s v="05AAECM6380J1ZA / MR HEALTHCARE PVT LTD"/>
    <s v="ROORKEE / 247667"/>
    <s v="KOSI ROAD,RAMNAGAR / 244715"/>
    <s v="321469044591 - 09/07/2022 17:16:00"/>
    <s v="MPR/22-23/1297"/>
    <d v="2022-07-09T00:00:00"/>
    <n v="54277.13"/>
    <n v="9769.8799999999992"/>
    <x v="139"/>
    <s v="METRONIDAZOLE BENZOATE IP"/>
    <s v="UK06CB9826"/>
    <n v="17.999993735851543"/>
  </r>
  <r>
    <s v="371468653025"/>
    <s v="05ABEFS5359M1ZP / M/S S.S. Industries"/>
    <s v="05AAECM6380J1ZA / M/S M R HealthCare Pvt. Ltd."/>
    <s v="Dehradun / 248011"/>
    <s v="RAMNAGAR / 244715"/>
    <s v="371468653025 - 09/07/2022 11:51:00"/>
    <n v="787"/>
    <d v="2022-07-08T00:00:00"/>
    <n v="35424"/>
    <n v="6376.32"/>
    <x v="4"/>
    <m/>
    <s v="UK04CA9162"/>
    <n v="18"/>
  </r>
  <r>
    <s v="371468076206"/>
    <s v="05AAKFV1624K1Z2 / VYALI INTERNATIONAL"/>
    <s v="05AAECM6380J1ZA / M.R HEALTHCARE PVT LTD KASHIPUR"/>
    <s v="ROORKEE / 247667"/>
    <s v="RAMNAGAR / 244715"/>
    <s v="371468076206 - 07/07/2022 23:52:00"/>
    <s v="RRK/A000319"/>
    <d v="2022-07-07T00:00:00"/>
    <n v="240000"/>
    <n v="43200"/>
    <x v="1"/>
    <s v="29420090"/>
    <s v="UK18CA4767"/>
    <n v="18"/>
  </r>
  <r>
    <s v="341467322705"/>
    <s v="05AASFR5565R1Z4 / M/S ROORKEE FOIL"/>
    <s v="05AAECM6380J1ZA / M/S M R HealthCare Pvt. Ltd."/>
    <s v="Haridwar / 247667"/>
    <s v="RAMNAGAR / 244715"/>
    <s v="341467322705 - 05/07/2022 22:10:00"/>
    <s v="RK/22-23/0737"/>
    <d v="2022-07-05T00:00:00"/>
    <n v="47113"/>
    <n v="8480.34"/>
    <x v="20"/>
    <s v="BLISTER FOIL PRINTED"/>
    <s v="UK18CA5709"/>
    <n v="18"/>
  </r>
  <r>
    <s v="351465830571"/>
    <s v="06AYEPS2518M1Z4 / FORTUNE SOURCING"/>
    <s v="05AAECM6380J1ZA / M/S M R HealthCare Pvt. Ltd."/>
    <s v="Gurugram / 122001"/>
    <s v="RAMNAGAR / 244715"/>
    <s v="351465830571 - 02/07/2022 21:01:00"/>
    <s v="FS/0090/2022-23"/>
    <d v="2022-07-01T00:00:00"/>
    <n v="176415.4"/>
    <n v="31754.77"/>
    <x v="10"/>
    <s v="LAMI TUBE"/>
    <s v="UK06CB6893"/>
    <n v="17.999998866312126"/>
  </r>
  <r>
    <s v="331466482700"/>
    <s v="05ALGPC9789H1ZQ / OM PHARMACEUTICALS"/>
    <s v="05AAECM6380J1ZA / M/S M R HealthCare Pvt. Ltd."/>
    <s v="Haridwar / 249402"/>
    <s v="RAMNAGAR / 244715"/>
    <s v="331466482700 - 02/07/2022 20:11:00"/>
    <s v="OP/00123/2022-23"/>
    <d v="2022-07-02T00:00:00"/>
    <n v="118000"/>
    <n v="21240"/>
    <x v="25"/>
    <s v="MCCP IP 101"/>
    <s v="UK18CA3698"/>
    <n v="18"/>
  </r>
  <r>
    <s v="351465834461"/>
    <s v="05ALGPC9789H1ZQ / OM PHARMACEUTICALS"/>
    <s v="05AAECM6380J1ZA / M/S M R HealthCare Pvt. Ltd."/>
    <s v="Haridwar / 249402"/>
    <s v="RAMNAGAR / 244715"/>
    <s v="351465834461 - 01/07/2022 20:44:00"/>
    <s v="OP/00119/2022-23"/>
    <d v="2022-07-01T00:00:00"/>
    <n v="48000"/>
    <n v="8640"/>
    <x v="140"/>
    <s v="DRIED ALUMINIUM HYDROXIDE GEL BP"/>
    <s v="UK18CA3698"/>
    <n v="18"/>
  </r>
  <r>
    <s v="301476940950"/>
    <s v="05ABNPA6018N2ZK / Manish Pharma"/>
    <s v="05AAECM6380J1ZA / MR HEALTHCARE PVT LTD"/>
    <s v="ROORKEE / 247667"/>
    <s v="KOSI ROAD,RAMNAGAR / 244715"/>
    <s v="301476940950 - 29/07/2022 15:53:00"/>
    <s v="MPR/22-23/1528"/>
    <d v="2022-07-29T00:00:00"/>
    <n v="1650825"/>
    <n v="297148.5"/>
    <x v="19"/>
    <s v="PARACETAMOL IP (VIVA-API)"/>
    <s v="UK06CA8026"/>
    <n v="18"/>
  </r>
  <r>
    <s v="331476381921"/>
    <s v="06AAACU5331M1Z9 / Sterile India Private Limited"/>
    <s v="05AAECM6380J1ZA / M/S M R HealthCare Pvt. Ltd."/>
    <s v="SONIPAT / 131028"/>
    <s v="Nainital / 244715"/>
    <s v="331476381921 - 28/07/2022 13:28:00"/>
    <s v="484/2022-23"/>
    <d v="2022-07-28T00:00:00"/>
    <n v="1063168"/>
    <n v="191370.23999999999"/>
    <x v="33"/>
    <s v="Ceftriaxone Sodium Sterile USP"/>
    <s v="HR38T0499"/>
    <n v="18"/>
  </r>
  <r>
    <s v="331476025735"/>
    <s v="05AAJFB5728K1ZA / Blize Printers 2022-23"/>
    <s v="05AAECM6380J1ZA / M.R. HEALTHCARE PVT. LTD."/>
    <s v="BHAGWANPUR / 247661"/>
    <s v="RAMNAGAR / 244715"/>
    <s v="331476025735 - 27/07/2022 23:41:00"/>
    <s v="BP/22-23/1378"/>
    <d v="2022-07-26T00:00:00"/>
    <n v="304340.90000000002"/>
    <n v="54781.38"/>
    <x v="8"/>
    <s v="Carton"/>
    <s v="UK17CA4358"/>
    <n v="18.00000591442031"/>
  </r>
  <r>
    <s v="361471443072"/>
    <s v="05HVVPS7064F1ZS / QUANTUM PHARMA CHEM"/>
    <s v="05AAECM6380J1ZA / M/S M R HealthCare Pvt. Ltd."/>
    <s v="Haridwar / 247667"/>
    <s v="RAMNAGAR / 244715"/>
    <s v="361471443072 - 15/07/2022 18:58:00"/>
    <n v="250"/>
    <d v="2022-07-15T00:00:00"/>
    <n v="165000"/>
    <n v="29700"/>
    <x v="141"/>
    <m/>
    <s v="UK18CA1896"/>
    <n v="18"/>
  </r>
  <r>
    <s v="311469860402"/>
    <s v="02AKAPC8938R1ZU / COAT AND COAT PHARMACARE"/>
    <s v="05AAECM6380J1ZA / M/S M R HealthCare Pvt. Ltd."/>
    <s v="Solan / 173205"/>
    <s v="RAMNAGAR / 244715"/>
    <s v="311469860402 - 12/07/2022 20:00:00"/>
    <n v="501"/>
    <d v="2022-07-11T00:00:00"/>
    <n v="115000"/>
    <n v="20700"/>
    <x v="46"/>
    <s v="TABLET COATING MATERIAL"/>
    <s v="UK06CB8289"/>
    <n v="18"/>
  </r>
  <r>
    <s v="321468701923"/>
    <s v="05ABIPT0216G1ZY / M/S Gautam Minirals Chemicals"/>
    <s v="05AAECM6380J1ZA / M/S M R HealthCare Pvt. Ltd."/>
    <s v="Rudarpur / 263153"/>
    <s v="RAMNAGAR / 244715"/>
    <s v="321468701923 - 08/07/2022 17:52:00"/>
    <s v="22-23/158"/>
    <d v="2022-07-08T00:00:00"/>
    <n v="167000"/>
    <n v="20040"/>
    <x v="16"/>
    <m/>
    <s v="UK04CB9638"/>
    <n v="12"/>
  </r>
  <r>
    <s v="301466037390"/>
    <s v="05AAJFB5728K1ZA / Blize Printers 2022-23"/>
    <s v="05AAECM6380J1ZA / M.R. HEALTHCARE PVT. LTD."/>
    <s v="BHAGWANPUR / 247661"/>
    <s v="RAMNAGAR / 244715"/>
    <s v="301466037390 - 02/07/2022 00:01:00"/>
    <s v="BP/22-23/1121"/>
    <d v="2022-07-01T00:00:00"/>
    <n v="46213.599999999999"/>
    <n v="8318.44"/>
    <x v="8"/>
    <s v="Carton"/>
    <s v="UK18CA3698"/>
    <n v="17.999982689078539"/>
  </r>
  <r>
    <s v="321465837119"/>
    <s v="05ALGPC9789H1ZQ / OM PHARMACEUTICALS"/>
    <s v="05AAECM6380J1ZA / M/S M R HealthCare Pvt. Ltd."/>
    <s v="Haridwar / 249402"/>
    <s v="RAMNAGAR / 244715"/>
    <s v="321465837119 - 01/07/2022 20:44:00"/>
    <s v="OP/00117/2022-23"/>
    <d v="2022-06-29T00:00:00"/>
    <n v="28000"/>
    <n v="5040"/>
    <x v="142"/>
    <s v="EMULSION"/>
    <s v="UK18CA3698"/>
    <n v="18"/>
  </r>
  <r>
    <s v="351477347957"/>
    <s v="05AAJFB5728K1ZA / Blize Printers 2022-23"/>
    <s v="05AAECM6380J1ZA / M.R. HEALTHCARE PVT. LTD."/>
    <s v="BHAGWANPUR / 247661"/>
    <s v="RAMNAGAR / 244715"/>
    <s v="351477347957 - 31/07/2022 01:12:00"/>
    <s v="BP/22-23/1414"/>
    <d v="2022-07-30T00:00:00"/>
    <n v="79603.3"/>
    <n v="13501.8"/>
    <x v="8"/>
    <s v="Carton"/>
    <s v="UK17CA4284"/>
    <n v="16.961357129666734"/>
  </r>
  <r>
    <s v="301477347598"/>
    <s v="05AAJFB5728K1ZA / Blize Printers 2022-23"/>
    <s v="05AAECM6380J1ZA / M.R. HEALTHCARE PVT. LTD."/>
    <s v="BHAGWANPUR / 247661"/>
    <s v="RAMNAGAR / 244715"/>
    <s v="301477347598 - 31/07/2022 01:12:00"/>
    <s v="BP/22-23/1405"/>
    <d v="2022-07-29T00:00:00"/>
    <n v="84912.7"/>
    <n v="14647.3"/>
    <x v="8"/>
    <s v="Carton"/>
    <s v="UK17CA4284"/>
    <n v="17.249834241520997"/>
  </r>
  <r>
    <s v="301476072802"/>
    <s v="05AAJFB5728K1ZA / Blize Printers 2022-23"/>
    <s v="05AAECM6380J1ZA / M.R. HEALTHCARE PVT. LTD."/>
    <s v="BHAGWANPUR / 247661"/>
    <s v="RAMNAGAR / 244715"/>
    <s v="301476072802 - 27/07/2022 23:41:00"/>
    <s v="BP/22-23/1390"/>
    <d v="2022-07-27T00:00:00"/>
    <n v="90447.5"/>
    <n v="15387.46"/>
    <x v="8"/>
    <s v="Carton"/>
    <s v="UK17CA4358"/>
    <n v="17.012587412587411"/>
  </r>
  <r>
    <s v="351476131450"/>
    <s v="05ABSFA7387F1Z0 / AASTHA MEDI SOLUTIONS"/>
    <s v="05AAECM6380J1ZA / M/S M R HealthCare Pvt. Ltd."/>
    <s v="Haridwar / 247667"/>
    <s v="RAMNAGAR / 244715"/>
    <s v="351476131450 - 27/07/2022 18:56:00"/>
    <n v="450"/>
    <d v="2022-07-27T00:00:00"/>
    <n v="15400"/>
    <n v="2772"/>
    <x v="11"/>
    <s v="PRINTED ROLLER"/>
    <s v="UK17CA4358"/>
    <n v="18"/>
  </r>
  <r>
    <s v="311476128869"/>
    <s v="05ABSFA7387F1Z0 / AASTHA MEDI SOLUTIONS"/>
    <s v="05AAECM6380J1ZA / M/S M R HealthCare Pvt. Ltd."/>
    <s v="Haridwar / 247667"/>
    <s v="RAMNAGAR / 244715"/>
    <s v="311476128869 - 27/07/2022 18:51:00"/>
    <n v="449"/>
    <d v="2022-07-27T00:00:00"/>
    <n v="110166.1"/>
    <n v="19829.900000000001"/>
    <x v="14"/>
    <s v="PRINTED ALUMINIUM FOIL"/>
    <s v="UK17CA4358"/>
    <n v="18.000001815440505"/>
  </r>
  <r>
    <s v="331473370513"/>
    <s v="05ABNFA2675D1ZK / Aura packaging"/>
    <s v="05AAECM6380J1ZA / M/S M R HealthCare Pvt. Ltd."/>
    <s v="Udham Singh Nagar / 263153"/>
    <s v="RAMNAGAR / 244715"/>
    <s v="331473370513 - 20/07/2022 19:46:00"/>
    <s v="AP/2022-23/00253"/>
    <d v="2022-07-20T00:00:00"/>
    <n v="56583"/>
    <n v="10184.94"/>
    <x v="23"/>
    <s v="Packaging material"/>
    <s v="UK06CB7086"/>
    <n v="18"/>
  </r>
  <r>
    <s v="361472915400"/>
    <s v="05KBGPS5273E1ZC / SUNDERAM PACKAGING"/>
    <s v="05AAECM6380J1ZA / M/S M R HealthCare Pvt. Ltd."/>
    <s v="Udham Singh Nagar / 263153"/>
    <s v="RAMNAGAR / 244715"/>
    <s v="361472915400 - 20/07/2022 06:31:00"/>
    <s v="SP/206"/>
    <d v="2022-07-19T00:00:00"/>
    <n v="158779.29999999999"/>
    <n v="28580.28"/>
    <x v="47"/>
    <s v="FOIL"/>
    <s v="UK06CB1942"/>
    <n v="18.000003778830113"/>
  </r>
  <r>
    <s v="311471671735"/>
    <s v="05AAACY8180G1Z7 / YURVIE PACKAGING PRIVATE LIMITED"/>
    <s v="05AAECM6380J1ZA / M/S M R HealthCare Pvt. Ltd."/>
    <s v="Haridwar / 247661"/>
    <s v="RAMNAGAR / 244715"/>
    <s v="311471671735 - 16/07/2022 23:02:00"/>
    <s v="Y/22-23/0485"/>
    <d v="2022-07-16T00:00:00"/>
    <n v="93795"/>
    <n v="16883.099999999999"/>
    <x v="9"/>
    <s v="LAMI TUBE"/>
    <s v="UK18CA3698"/>
    <n v="17.999999999999996"/>
  </r>
  <r>
    <s v="351471354742"/>
    <s v="05ABNPA6018N2ZK / Manish Pharma"/>
    <s v="05AAECM6380J1ZA / MR HEALTHCARE PVT LTD"/>
    <s v="ROORKEE / 247667"/>
    <s v="KOSI ROAD,RAMNAGAR / 244715"/>
    <s v="351471354742 - 15/07/2022 19:13:00"/>
    <s v="MPR/22-23/1375"/>
    <d v="2022-07-15T00:00:00"/>
    <n v="1215607.5"/>
    <n v="218809.36"/>
    <x v="33"/>
    <s v="CEFIXIME T.H.COMPACTED IP (COVALENT)"/>
    <s v="UK18CA0203"/>
    <n v="18.00000082263395"/>
  </r>
  <r>
    <s v="371470998240"/>
    <s v="03AAACA5579P1ZB / AJANTA PHARMA LIMITED 140603"/>
    <s v="05AAECM6380J1ZA / M.R. Healthcare Pvt. Ltd."/>
    <s v="Village Pabhat Zirakpur Dist Sahibzada / 140603"/>
    <s v="Ramnagar / 244715"/>
    <s v="371470998240 - 14/07/2022 19:07:00"/>
    <n v="5000526391"/>
    <d v="2022-07-12T00:00:00"/>
    <n v="377760"/>
    <n v="45331.199999999997"/>
    <x v="77"/>
    <m/>
    <s v="UK18CA8499"/>
    <n v="12"/>
  </r>
  <r>
    <s v="391470828633"/>
    <s v="05ABNPA6018N2ZK / Manish Pharma"/>
    <s v="05AAECM6380J1ZA / MR HEALTHCARE PVT LTD"/>
    <s v="ROORKEE / 247667"/>
    <s v="KOSI ROAD,RAMNAGAR / 244715"/>
    <s v="391470828633 - 14/07/2022 16:01:00"/>
    <s v="MPR/22-23/1363"/>
    <d v="2022-07-14T00:00:00"/>
    <n v="1090545"/>
    <n v="196298.1"/>
    <x v="19"/>
    <s v="PARACETAMOL - IP ( MAKE - SARA )"/>
    <s v="UK18CA1896"/>
    <n v="18"/>
  </r>
  <r>
    <s v="331470403627"/>
    <s v="05ABSFA7387F1Z0 / AASTHA MEDI SOLUTIONS"/>
    <s v="05AAECM6380J1ZA / M/S M R HealthCare Pvt. Ltd."/>
    <s v="Haridwar / 247667"/>
    <s v="RAMNAGAR / 244715"/>
    <s v="331470403627 - 13/07/2022 15:18:00"/>
    <n v="413"/>
    <d v="2022-07-13T00:00:00"/>
    <n v="4400"/>
    <n v="792"/>
    <x v="11"/>
    <s v="PRINTED ROLLER"/>
    <s v="UK18CA4303"/>
    <n v="18"/>
  </r>
  <r>
    <s v="331469266453"/>
    <s v="05ALGPC9789H1ZQ / OM PHARMACEUTICALS"/>
    <s v="05AAECM6380J1ZA / M/S M R HealthCare Pvt. Ltd."/>
    <s v="Haridwar / 249402"/>
    <s v="RAMNAGAR / 244715"/>
    <s v="331469266453 - 11/07/2022 21:06:00"/>
    <s v="OP/00133/2022-23"/>
    <d v="2022-07-10T00:00:00"/>
    <n v="109000"/>
    <n v="19620"/>
    <x v="26"/>
    <s v="CROSSPOVIDONE XL10"/>
    <s v="UK17CA4358"/>
    <n v="18"/>
  </r>
  <r>
    <s v="371469074858"/>
    <s v="03AFLPA0607D1ZD / TIMET ENGINEERING PUNJAB"/>
    <s v="05AAECM6380J1ZA / M R Health Care Pvt Ltd"/>
    <s v="Punjab / 160067"/>
    <s v="Ramnagar / 244715"/>
    <s v="371469074858 - 09/07/2022 16:54:00"/>
    <s v="10/2022-23"/>
    <d v="2022-07-09T00:00:00"/>
    <n v="1256250"/>
    <n v="226125"/>
    <x v="143"/>
    <s v="Multimill Shifter"/>
    <s v="PB11CB9995"/>
    <n v="18"/>
  </r>
  <r>
    <s v="381468658234"/>
    <s v="05ABEFS5359M1ZP / M/S S.S. Industries"/>
    <s v="05AAECM6380J1ZA / M/S M R HealthCare Pvt. Ltd."/>
    <s v="Dehradun / 248011"/>
    <s v="RAMNAGAR / 244715"/>
    <s v="381468658234 - 09/07/2022 11:53:00"/>
    <n v="788"/>
    <d v="2022-07-08T00:00:00"/>
    <n v="13280"/>
    <n v="2390.4"/>
    <x v="13"/>
    <m/>
    <s v="UK06CB4326"/>
    <n v="18"/>
  </r>
  <r>
    <s v="331467183534"/>
    <s v="05AOAPT4654B1Z7 / M/S PHARMA SOLUTIONS"/>
    <s v="05AAECM6380J1ZA / M/S M R HealthCare Pvt. Ltd."/>
    <s v="Udham Singh Nagar / 263153"/>
    <s v="RAMNAGAR / 244715"/>
    <s v="331467183534 - 05/07/2022 20:51:00"/>
    <s v="PS/22-23/0301"/>
    <d v="2022-07-05T00:00:00"/>
    <n v="43700"/>
    <n v="7866"/>
    <x v="121"/>
    <s v="Xanthan Gum Transparents Grade USP"/>
    <s v="UK18CA5709"/>
    <n v="18"/>
  </r>
  <r>
    <s v="331466345289"/>
    <s v="05AAJFB5728K1ZA / Blize Printers 2022-23"/>
    <s v="05AAECM6380J1ZA / M.R. HEALTHCARE PVT. LTD."/>
    <s v="BHAGWANPUR / 247661"/>
    <s v="RAMNAGAR / 244715"/>
    <s v="331466345289 - 03/07/2022 00:34:00"/>
    <s v="BP/22-23/1137"/>
    <d v="2022-07-02T00:00:00"/>
    <n v="117047.25"/>
    <n v="21068.52"/>
    <x v="8"/>
    <s v="Carton"/>
    <s v="UK18CA3698"/>
    <n v="18.000012815337396"/>
  </r>
  <r>
    <s v="361477105303"/>
    <s v="05AAHCT0752E1ZN / Tiwari Pharma Pvt. Ltd."/>
    <s v="05AAECM6380J1ZA / M.R. Healthcare Pvt. Ltd."/>
    <s v="Bahadrabad / 249402"/>
    <s v="RAMNAGAR / 244715"/>
    <s v="361477105303 - 29/07/2022 19:51:00"/>
    <s v="TPPL/22-23/3603"/>
    <d v="2022-07-29T00:00:00"/>
    <n v="83400"/>
    <n v="15012"/>
    <x v="48"/>
    <s v="Primojel-Sodium Starch Glycolate Usp-Nf"/>
    <s v="UK17CA1878"/>
    <n v="18"/>
  </r>
  <r>
    <s v="391477062937"/>
    <s v="05AABCA8568R1ZZ / ABS Mercantiles Pvt. Ltd."/>
    <s v="05AAECM6380J1ZA / M.R. HEALTHCARE PVT. LTD."/>
    <s v="UTTARAKHAND / 247667"/>
    <s v="Ram Nagar / 244715"/>
    <s v="391477062937 - 30/07/2022 01:07:00"/>
    <s v="ABSR/22-23/0271"/>
    <d v="2022-07-29T00:00:00"/>
    <n v="1650000"/>
    <n v="297000"/>
    <x v="19"/>
    <s v="PARACETAMOL IP"/>
    <s v="UK17CA1878"/>
    <n v="18"/>
  </r>
  <r>
    <s v="311476534673"/>
    <s v="05AASFR5565R1Z4 / M/S ROORKEE FOIL"/>
    <s v="05AAECM6380J1ZA / M/S M R HealthCare Pvt. Ltd."/>
    <s v="Haridwar / 247667"/>
    <s v="RAMNAGAR / 244715"/>
    <s v="311476534673 - 28/07/2022 21:52:00"/>
    <s v="RK/22-23/0903"/>
    <d v="2022-07-28T00:00:00"/>
    <n v="81747"/>
    <n v="14714.46"/>
    <x v="20"/>
    <s v="BLISTER FOIL PRINTED"/>
    <s v="UK18CA4767"/>
    <n v="18"/>
  </r>
  <r>
    <s v="281423403315"/>
    <s v="27AABFF5289R1ZM / FARMA FUSION"/>
    <s v="05AAECM6380J1ZA / M R HEALTHCARE PRIVATE LIMITED"/>
    <s v="BHIWANDI / 421302"/>
    <s v="RAMNAGAR / 244715"/>
    <s v="281423403315 - 29/04/2022 07:37:00"/>
    <n v="220433"/>
    <d v="2022-04-27T00:00:00"/>
    <n v="83291.5"/>
    <n v="14992.47"/>
    <x v="1"/>
    <s v="ITRACONAZOLE BP"/>
    <s v="UK18TA0659"/>
    <n v="18"/>
  </r>
  <r>
    <s v="231418526044"/>
    <s v="27AACCG4948E1ZL / GENERAL IMPORT COMPANY (INDIA) PRIVATE LIMITED, BHIWANDI"/>
    <s v="05AAECM6380J1ZA / M/S M R HealthCare Pvt. Ltd."/>
    <s v="BHIWANDI / 421302"/>
    <s v="DIST NAINITAL / 244715"/>
    <s v="231418526044 - 16/04/2022 17:34:00"/>
    <s v="2022-23/000125"/>
    <d v="2022-04-15T00:00:00"/>
    <n v="157697.54"/>
    <n v="28385.56"/>
    <x v="33"/>
    <s v="IP"/>
    <s v="UK18CA4767"/>
    <n v="18.000001775550842"/>
  </r>
  <r>
    <s v="271415761286"/>
    <s v="27AAFCS9959Q1Z4 / SNEHA MEDICARE PVT LTD"/>
    <s v="05AAECM6380J1ZA / M R HEALTHCARE PVT LTD"/>
    <s v="BHIWANDI / 421302"/>
    <s v="DIST NAINITAL / 244715"/>
    <s v="271415761286 - 12/04/2022 18:08:00"/>
    <s v="H00261"/>
    <d v="2022-04-08T00:00:00"/>
    <n v="267500"/>
    <n v="48150"/>
    <x v="41"/>
    <s v="PHENYLEPHRINE HCL IP"/>
    <s v="UA04A7926"/>
    <n v="18"/>
  </r>
  <r>
    <s v="201416548786"/>
    <s v="27ABDFM1849B1ZI / MULJI MEHTA ENTERPRISES"/>
    <s v="05AAECM6380J1ZA / M R Healthcare Pvt Ltd"/>
    <s v="Mumbai / 400037"/>
    <s v="Uttarakhand / 244715"/>
    <s v="201416548786 - 11/04/2022 19:34:00"/>
    <s v="E2223/011"/>
    <d v="2022-04-08T00:00:00"/>
    <n v="187500"/>
    <n v="33750"/>
    <x v="28"/>
    <s v="Mefenamic Acid"/>
    <s v="UK18CA4767"/>
    <n v="18"/>
  </r>
  <r>
    <s v="281416554576"/>
    <s v="27ALLPP4470H1ZQ / ASD ENGINEERING WORKS"/>
    <s v="05AAECM6380J1ZA / M/S M R HealthCare Pvt. Ltd."/>
    <s v="Mumbai Suburban / 400078"/>
    <s v="RAMNAGAR / 244715"/>
    <s v="281416554576 - 11/04/2022 12:35:00"/>
    <s v="ASD/202223-004"/>
    <d v="2022-04-11T00:00:00"/>
    <n v="58950"/>
    <n v="10611"/>
    <x v="144"/>
    <s v="STRIP CHANGE PART"/>
    <s v="UK18CA0916"/>
    <n v="18"/>
  </r>
  <r>
    <s v="251415861519"/>
    <s v="27AABCS4582P1ZP / SHUBHAM PHARMACHEM PVT LTD"/>
    <s v="05AAECM6380J1ZA / M/S M R HealthCare Pvt. Ltd."/>
    <s v="RAHNAL VILLAGE BHIWANDI  THANE / 421302"/>
    <s v="NAINITAL / 244715"/>
    <s v="251415861519 - 09/04/2022 18:32:00"/>
    <s v="SPPL/22-23/D0137"/>
    <d v="2022-04-08T00:00:00"/>
    <n v="131250"/>
    <n v="23625"/>
    <x v="118"/>
    <s v="IP"/>
    <s v="UK18CA4767"/>
    <n v="18"/>
  </r>
  <r>
    <s v="261415305586"/>
    <s v="27AAFCS9959Q1Z4 / SNEHA MEDICARE PVT LTD"/>
    <s v="05AAECM6380J1ZA / M R HEALTHCARE PVT LTD"/>
    <s v="BHIWANDI / 421302"/>
    <s v="DIST NAINITAL / 244715"/>
    <s v="261415305586 - 09/04/2022 10:03:00"/>
    <s v="H00229"/>
    <d v="2022-04-07T00:00:00"/>
    <n v="342250"/>
    <n v="61605"/>
    <x v="89"/>
    <s v="IBUPROFEN IP"/>
    <s v="DL01GC9973"/>
    <n v="18"/>
  </r>
  <r>
    <s v="291415717595"/>
    <s v="27AAACE0940Q1ZG / ELMACH PACKAGES INDIA PVT LTD"/>
    <s v="05AAECM6380J1ZA / M/S M R HealthCare Pvt. Ltd."/>
    <s v="BHIWANDI / 421302"/>
    <s v="RAMNAGAR / 244715"/>
    <s v="291415717595 - 08/04/2022 17:17:00"/>
    <n v="38"/>
    <d v="2022-04-08T00:00:00"/>
    <n v="55550"/>
    <n v="9999"/>
    <x v="144"/>
    <s v="CHANGE PARTS"/>
    <s v="UK06CB1526"/>
    <n v="18"/>
  </r>
  <r>
    <s v="281423396255"/>
    <s v="27AABFF5289R1ZM / FARMA FUSION"/>
    <s v="05AAECM6380J1ZA / M R HEALTHCARE PRIVATE LIMITED"/>
    <s v="BHIWANDI / 421302"/>
    <s v="RAMNAGAR / 244715"/>
    <s v="281423396255 - 29/04/2022 07:37:00"/>
    <n v="220426"/>
    <d v="2022-04-27T00:00:00"/>
    <n v="44622.3"/>
    <n v="8032.01"/>
    <x v="1"/>
    <s v="TADALAFIL USP"/>
    <s v="UK18TA0659"/>
    <n v="17.999991035872196"/>
  </r>
  <r>
    <s v="221416560702"/>
    <s v="27ALLPP4470H1ZQ / ASD ENGINEERING WORKS"/>
    <s v="05AAECM6380J1ZA / M/S M R HealthCare Pvt. Ltd."/>
    <s v="Mumbai Suburban / 400078"/>
    <s v="RAMNAGAR / 244715"/>
    <s v="221416560702 - 11/04/2022 12:44:00"/>
    <s v="ASD/202223-005"/>
    <d v="2022-04-11T00:00:00"/>
    <n v="58950"/>
    <n v="10611"/>
    <x v="144"/>
    <s v="STRIP CHANGE PART"/>
    <s v="UK18CA0916"/>
    <n v="18"/>
  </r>
  <r>
    <s v="481243233130"/>
    <s v="09AVWPT8411D1Z0 / MEDZY PHARMACEUTICAL"/>
    <s v="05AAECM6380J1ZA / M/S M R HealthCare Pvt. Ltd."/>
    <s v="Ghaziabad / 263153"/>
    <s v="RAMNAGAR / 244715"/>
    <s v="481243233130 - 09/04/2022 13:55:00"/>
    <n v="2"/>
    <d v="2022-04-09T00:00:00"/>
    <n v="72500"/>
    <n v="13050"/>
    <x v="51"/>
    <m/>
    <s v="UK06CB2817"/>
    <n v="18"/>
  </r>
  <r>
    <s v="461244314805"/>
    <s v="09AAACH7447K1Z7 / HINDUSTAN MINT AND AGRO PRODUCTS PVT LTD"/>
    <s v="05AAECM6380J1ZA / M/S M. R. HEALTHCARE PVT. LTD."/>
    <s v="CHANDAUSI / 244412"/>
    <s v="NAINITAL / 244715"/>
    <s v="461244314805 - 14/04/2022 13:30:00"/>
    <s v="DOM-036"/>
    <d v="2022-04-14T00:00:00"/>
    <n v="134995"/>
    <n v="16199.4"/>
    <x v="145"/>
    <s v="MENTHOL BOLD CRYSTAL"/>
    <s v="UK19CA0431"/>
    <n v="12"/>
  </r>
  <r>
    <s v="441245556666"/>
    <s v="09BGUPK3260M1ZP / SHRI ENTERPRISES"/>
    <s v="05AAECM6380J1ZA / M R HEALTHCARE PVT LTD"/>
    <s v="SAHARANPUR / 247001"/>
    <s v="/ 244715"/>
    <s v="441245556666 - 20/04/2022 23:03:00"/>
    <n v="7"/>
    <d v="2022-04-20T00:00:00"/>
    <n v="57685"/>
    <n v="10383.299999999999"/>
    <x v="21"/>
    <s v="PAPER"/>
    <s v="UK18TA0659"/>
    <n v="17.999999999999996"/>
  </r>
  <r>
    <s v="681413974380"/>
    <s v="24AALCP5224D1ZO / PRACHEM LABORATORIES PRIVATE LIMITED"/>
    <s v="05AAECM6380J1ZA / M R HEALTHCARE PVT LTD"/>
    <s v="CHHATRAL / 382729"/>
    <s v="RAMNAGAR / 244715"/>
    <s v="681413974380 - 28/04/2022 11:47:00"/>
    <s v="PL22230139"/>
    <d v="2022-04-28T00:00:00"/>
    <n v="127838.25"/>
    <n v="23010.89"/>
    <x v="1"/>
    <s v="CLOBETASOL PROPIONATE - USP"/>
    <s v="DL01LAC2874"/>
    <n v="18.000003911192465"/>
  </r>
  <r>
    <s v="611408720940"/>
    <s v="26AAACA3345D1Z8 / Amisha Vinyls Pvt. Ltd."/>
    <s v="05AAECM6380J1ZA / M.R.HEALTHCARE PVT.LTD."/>
    <s v="Daman / 396210"/>
    <s v="NAINITAL / 244715"/>
    <s v="611408720940 - 14/04/2022 19:29:00"/>
    <n v="143"/>
    <d v="2022-04-14T00:00:00"/>
    <n v="215065.4"/>
    <m/>
    <x v="12"/>
    <s v="Pharma grade - 01 - Blue colour - 0.25mm Thick - 198mm Width - Paper Core 9 - BOX - WL"/>
    <s v="HR55AL3910"/>
    <n v="0"/>
  </r>
  <r>
    <s v="601408056037"/>
    <s v="23BJGPJ1082F1ZM / YES LIFESCIENCE"/>
    <s v="05AAECM6380J1ZA / M/S M R HealthCare Pvt. Ltd."/>
    <s v="Indore / 452001"/>
    <s v="RAMNAGAR / 244715"/>
    <s v="601408056037 - 13/04/2022 21:14:00"/>
    <s v="YES/028/22-23"/>
    <d v="2022-04-13T00:00:00"/>
    <n v="244000"/>
    <n v="43920"/>
    <x v="107"/>
    <s v="H.L. MEDICINE"/>
    <s v="DL01MA4531"/>
    <n v="18"/>
  </r>
  <r>
    <s v="661406149212"/>
    <s v="24AATFS1133P1ZQ / SUHEKA INDUSTRIES"/>
    <s v="05AAECM6380J1ZA / M R Healthcare Pvt Ltd"/>
    <s v="Ahmedabad / 382445"/>
    <s v="Ramnagar / 244715"/>
    <s v="661406149212 - 08/04/2022 15:19:00"/>
    <s v="SI/0029/22-23"/>
    <d v="2022-04-08T00:00:00"/>
    <n v="104000"/>
    <n v="18720"/>
    <x v="1"/>
    <s v="Simethicone IP"/>
    <s v="UP22T6779"/>
    <n v="18"/>
  </r>
  <r>
    <s v="641405728719"/>
    <s v="26AAACA3345D1Z8 / Amisha Vinyls Pvt. Ltd."/>
    <s v="05AAECM6380J1ZA / M.R.HEALTHCARE PVT.LTD."/>
    <s v="Daman / 396210"/>
    <s v="NAINITAL / 244715"/>
    <s v="641405728719 - 07/04/2022 16:25:00"/>
    <n v="48"/>
    <d v="2022-04-07T00:00:00"/>
    <n v="259814.39999999999"/>
    <m/>
    <x v="12"/>
    <s v="Pharma grade - 01 - Blue Tone - 0.25mm Thick - 194mm Width - Paper Core 9 - BOX - WL"/>
    <s v="HR55AK9802"/>
    <n v="0"/>
  </r>
  <r>
    <s v="771255800210"/>
    <s v="07AAACR6057R1ZR / ROHAN PHARMA PVT LTD"/>
    <s v="05AAECM6380J1ZA / MRHEALTHCARE PVT LTD"/>
    <s v="DELHI / 110039"/>
    <s v="RAM NAGAR / 244715"/>
    <s v="771255800210 - 27/04/2022 23:01:00"/>
    <s v="RPPL/0327/22-23"/>
    <d v="2022-04-27T00:00:00"/>
    <n v="554375"/>
    <n v="99787.5"/>
    <x v="5"/>
    <m/>
    <s v="UK06CB7598"/>
    <n v="18"/>
  </r>
  <r>
    <s v="711253889198"/>
    <s v="07ASZPG6153D1ZH / GUNINA PRINT PACK"/>
    <s v="05AAECM6380J1ZA / MR HEALTHCARE PVT LTD"/>
    <s v="Delhi / 110095"/>
    <s v="RAMNAGER / 244715"/>
    <s v="711253889198 - 18/04/2022 21:59:00"/>
    <n v="35"/>
    <d v="2022-04-18T00:00:00"/>
    <n v="93432.7"/>
    <n v="16817.89"/>
    <x v="20"/>
    <m/>
    <s v="UK18CA4767"/>
    <n v="18.000004281156382"/>
  </r>
  <r>
    <s v="711251785616"/>
    <s v="07AZSPK2293G1ZZ / ROHIT ELECTRICALS"/>
    <s v="05AAECM6380J1ZA / M/S M R HealthCare Pvt. Ltd."/>
    <s v="BHAGIRATH PALACE , CHANDNI CHOWK / 110006"/>
    <s v="RAMNAGAR / 244715"/>
    <s v="711251785616 - 08/04/2022 04:16:00"/>
    <s v="RE-026/22-23"/>
    <d v="2022-04-07T00:00:00"/>
    <n v="36550"/>
    <n v="6579"/>
    <x v="146"/>
    <m/>
    <s v="UK04CB9243"/>
    <n v="18"/>
  </r>
  <r>
    <s v="701250199237"/>
    <s v="07AACPA7560R1ZD / CHANAKYA PHARMA"/>
    <s v="05AAECM6380J1ZA / M/S M R HealthCare Pvt. Ltd."/>
    <s v="New Delhi / 110015"/>
    <s v="RAMNAGAR / 244715"/>
    <s v="701250199237 - 03/04/2022 00:58:00"/>
    <s v="CPD-288/21-22"/>
    <d v="2022-03-31T00:00:00"/>
    <n v="230500"/>
    <n v="41490"/>
    <x v="1"/>
    <m/>
    <s v="UK04CB8557"/>
    <n v="18"/>
  </r>
  <r>
    <s v="741250697890"/>
    <s v="07AAFCD8504J1ZK / DLS INNOTECH PRIVATE LIMITED"/>
    <s v="05AAECM6380J1ZA / M/S M R HealthCare Pvt. Ltd."/>
    <s v="New Delhi / 110049"/>
    <s v="RAMNAGAR / 244715"/>
    <s v="741250697890 - 02/04/2022 22:43:00"/>
    <n v="3"/>
    <d v="2022-04-02T00:00:00"/>
    <n v="71700"/>
    <n v="12906"/>
    <x v="147"/>
    <s v="Intersil ODS-3V 250X4.6X5UM"/>
    <s v="DL01LAC2874"/>
    <n v="18"/>
  </r>
  <r>
    <s v="771255669707"/>
    <s v="07AAGFL4546C1ZI / LAXMI PRINT N PACK"/>
    <s v="05AAECM6380J1ZA / M/S M R HealthCare Pvt. Ltd."/>
    <s v="New Delhi / 110028"/>
    <s v="RAMNAGAR / 244715"/>
    <s v="771255669707 - 28/04/2022 04:35:00"/>
    <s v="2022-2023/054"/>
    <d v="2022-04-26T00:00:00"/>
    <n v="122567"/>
    <n v="0"/>
    <x v="4"/>
    <s v="BOX"/>
    <s v="HR55W0301"/>
    <n v="0"/>
  </r>
  <r>
    <s v="711252198347"/>
    <s v="07AAGFL4546C1ZI / LAXMI PRINT N PACK"/>
    <s v="05AAECM6380J1ZA / M/S M R HealthCare Pvt. Ltd."/>
    <s v="New Delhi / 110028"/>
    <s v="RAMNAGAR / 244715"/>
    <s v="711252198347 - 10/04/2022 05:38:00"/>
    <s v="2022-2023/022"/>
    <d v="2022-04-09T00:00:00"/>
    <n v="83040"/>
    <n v="0"/>
    <x v="148"/>
    <s v="BOX"/>
    <s v="HR38X6697"/>
    <n v="0"/>
  </r>
  <r>
    <s v="791251148040"/>
    <s v="07ABECS4075R1ZM / SAMCHEM INDIA PRIVATE LIMITED"/>
    <s v="05AAECM6380J1ZA / M/S M R HealthCare Pvt. Ltd."/>
    <s v="New Delhi / 110015"/>
    <s v="RAMNAGAR / 244715"/>
    <s v="791251148040 - 05/04/2022 20:16:00"/>
    <s v="SIPL/22-23/60"/>
    <d v="2022-04-05T00:00:00"/>
    <n v="46836"/>
    <n v="8430.48"/>
    <x v="38"/>
    <s v="RAW MATERIAL"/>
    <s v="DL01LAC2874"/>
    <n v="18"/>
  </r>
  <r>
    <s v="721254442245"/>
    <s v="07AAGFL4546C1ZI / LAXMI PRINT N PACK"/>
    <s v="05AAECM6380J1ZA / M/S M R HealthCare Pvt. Ltd."/>
    <s v="New Delhi / 110028"/>
    <s v="RAMNAGAR / 244715"/>
    <s v="721254442245 - 21/04/2022 02:03:00"/>
    <s v="2022-2023/043"/>
    <d v="2022-04-20T00:00:00"/>
    <n v="51011"/>
    <n v="0"/>
    <x v="8"/>
    <s v="BOX"/>
    <s v="DL01GC6558"/>
    <n v="0"/>
  </r>
  <r>
    <s v="741251107947"/>
    <s v="07AABPS2383P1Z5 / DIWAN CHAND SAHANI AND SONS"/>
    <s v="05AAECM6380J1ZA / M/S M R HealthCare Pvt. Ltd."/>
    <s v="North Delhi / 110006"/>
    <s v="RAMNAGAR / 244715"/>
    <s v="741251107947 - 07/04/2022 21:22:00"/>
    <s v="DCS/22-23/0022"/>
    <d v="2022-04-05T00:00:00"/>
    <n v="86000"/>
    <n v="15480"/>
    <x v="68"/>
    <s v="Other Chemicals"/>
    <s v="UK18CA4767"/>
    <n v="18"/>
  </r>
  <r>
    <s v="761250955020"/>
    <s v="07AAACR6057R1ZR / ROHAN PHARMA PVT LTD"/>
    <s v="05AAECM6380J1ZA / MRHEALTHCARE PVT LTD"/>
    <s v="DELHI / 110039"/>
    <s v="RAM NAGAR / 244715"/>
    <s v="761250955020 - 04/04/2022 22:43:00"/>
    <s v="RPPL/0036/22-23"/>
    <d v="2022-04-04T00:00:00"/>
    <n v="37500"/>
    <n v="6750"/>
    <x v="5"/>
    <m/>
    <s v="UK18CA4767"/>
    <n v="18"/>
  </r>
  <r>
    <s v="751261686749"/>
    <s v="07AABCS2515A1Z1 / SAJBEN PLASTFILMS PVT.LTD"/>
    <s v="05AAECM6380J1ZA / M/S M R HealthCare Pvt. Ltd."/>
    <s v="BAWANA / 110039"/>
    <s v="RAMNAGAR / 244715"/>
    <s v="751261686749 - 27/05/2022 20:12:00"/>
    <n v="257"/>
    <d v="2022-05-27T00:00:00"/>
    <n v="105512.5"/>
    <n v="18992.25"/>
    <x v="6"/>
    <m/>
    <s v="UK18CA4767"/>
    <n v="18"/>
  </r>
  <r>
    <s v="731256335751"/>
    <s v="07ASZPG6153D1ZH / GUNINA PRINT PACK"/>
    <s v="05AAECM6380J1ZA / MR HEALTHCARE PVT LTD"/>
    <s v="Delhi / 110095"/>
    <s v="RAMNAGER / 244715"/>
    <s v="731256335751 - 03/05/2022 00:53:00"/>
    <n v="69"/>
    <d v="2022-04-29T00:00:00"/>
    <n v="57045.45"/>
    <n v="10268.18"/>
    <x v="20"/>
    <m/>
    <s v="UK18CA6669"/>
    <n v="17.999998247011813"/>
  </r>
  <r>
    <s v="781259914073"/>
    <s v="07AATFD3714H1ZB / DIWAN CHAND SAHANI AND SONS LLP"/>
    <s v="05AAECM6380J1ZA / M/S M R HealthCare Pvt. Ltd."/>
    <s v="Central Delhi / 110005"/>
    <s v="RAMNAGAR / 244715"/>
    <s v="781259914073 - 20/05/2022 21:13:00"/>
    <s v="DCS/22-23/0210"/>
    <d v="2022-05-18T00:00:00"/>
    <n v="86000"/>
    <n v="15480"/>
    <x v="68"/>
    <s v="10 KG BAG"/>
    <s v="UK18CA4767"/>
    <n v="18"/>
  </r>
  <r>
    <s v="791260333822"/>
    <s v="08AACCA7721R1Z7 / ALKA LABORATORIES PVT LTD"/>
    <s v="05AAECM6380J1ZA / M R HEALTHCARE PVT LTD"/>
    <s v="BHIWADI / 301019"/>
    <s v="Ramnagar / 244715"/>
    <s v="791260333822 - 20/05/2022 14:26:00"/>
    <s v="ALPL22230151"/>
    <d v="2022-05-20T00:00:00"/>
    <n v="193500"/>
    <n v="34830"/>
    <x v="1"/>
    <m/>
    <s v="UK18CA4767"/>
    <n v="18"/>
  </r>
  <r>
    <s v="751259953163"/>
    <s v="08AGTPB5912H1ZA / ONS PHARMACEUTICAL"/>
    <s v="05AAECM6380J1ZA / MR HEALTHCARE PVT LTD"/>
    <s v="JAIPUR / 302003"/>
    <s v="NANITAL / 244715"/>
    <s v="751259953163 - 19/05/2022 00:14:00"/>
    <s v="22-23/000473"/>
    <d v="2022-05-18T00:00:00"/>
    <n v="263573.71999999997"/>
    <n v="47443.27"/>
    <x v="1"/>
    <s v="PRAZIQUANTEL USP"/>
    <s v="UK18CA2132"/>
    <n v="18.000000151760201"/>
  </r>
  <r>
    <s v="761259980292"/>
    <s v="07ASZPG6153D1ZH / GUNINA PRINT PACK"/>
    <s v="05AAECM6380J1ZA / MR HEALTHCARE PVT LTD"/>
    <s v="Delhi / 110095"/>
    <s v="RAMNAGER / 244715"/>
    <s v="761259980292 - 18/05/2022 19:25:00"/>
    <n v="106"/>
    <d v="2022-05-18T00:00:00"/>
    <n v="57576.04"/>
    <n v="10363.69"/>
    <x v="20"/>
    <m/>
    <s v="UK18CA4767"/>
    <n v="18.000004863134041"/>
  </r>
  <r>
    <s v="741259000987"/>
    <s v="08AACCA7721R1Z7 / ALKA LABORATORIES PVT LTD"/>
    <s v="05AAECM6380J1ZA / M R HEALTHCARE PVT LTD"/>
    <s v="BHIWADI / 301019"/>
    <s v="Ramnagar / 244715"/>
    <s v="741259000987 - 13/05/2022 16:27:00"/>
    <s v="ALPL22230133"/>
    <d v="2022-05-13T00:00:00"/>
    <n v="162500"/>
    <n v="29250"/>
    <x v="1"/>
    <m/>
    <s v="HR38T0499"/>
    <n v="18"/>
  </r>
  <r>
    <s v="781257725240"/>
    <s v="07AAGFL4546C1ZI / LAXMI PRINT N PACK"/>
    <s v="05AAECM6380J1ZA / M/S M R HealthCare Pvt. Ltd."/>
    <s v="New Delhi / 110028"/>
    <s v="RAMNAGAR / 244715"/>
    <s v="781257725240 - 06/05/2022 22:43:00"/>
    <s v="2022-2023/078"/>
    <d v="2022-05-06T00:00:00"/>
    <n v="124434"/>
    <n v="0"/>
    <x v="4"/>
    <s v="BOX"/>
    <s v="UK18CA4767"/>
    <n v="0"/>
  </r>
  <r>
    <s v="781257412607"/>
    <s v="07BPSPA7872N2Z1 / SHARVA INTERNATIONAL"/>
    <s v="05AAECM6380J1ZA / M/S M R HealthCare Pvt. Ltd."/>
    <s v="West Delhi / 110015"/>
    <s v="RAMNAGAR / 244715"/>
    <s v="781257412607 - 06/05/2022 03:46:00"/>
    <s v="SI-023/22-23"/>
    <d v="2022-05-05T00:00:00"/>
    <n v="230500"/>
    <n v="41490"/>
    <x v="1"/>
    <m/>
    <s v="DL01GC5907"/>
    <n v="18"/>
  </r>
  <r>
    <s v="701257085801"/>
    <s v="07AAGFL4546C1ZI / LAXMI PRINT N PACK"/>
    <s v="05AAECM6380J1ZA / M/S M R HealthCare Pvt. Ltd."/>
    <s v="New Delhi / 110028"/>
    <s v="RAMNAGAR / 244715"/>
    <s v="701257085801 - 03/05/2022 22:05:00"/>
    <s v="2022-2023/071"/>
    <d v="2022-05-03T00:00:00"/>
    <n v="130390"/>
    <n v="0"/>
    <x v="4"/>
    <s v="BOXES"/>
    <s v="UK18CA6669"/>
    <n v="0"/>
  </r>
  <r>
    <s v="741260964403"/>
    <s v="07AAAFH4633E1ZS / HINDUSTAN REFRIGERATION STORES"/>
    <s v="05AAECM6380J1ZA / M/S M R HealthCare Pvt. Ltd."/>
    <s v="DARYA GANJ / 110002"/>
    <s v="RAMNAGAR / 244715"/>
    <s v="741260964403 - 24/05/2022 05:31:00"/>
    <s v="HRS/22-23/32909"/>
    <d v="2022-05-20T00:00:00"/>
    <n v="6000"/>
    <n v="1080"/>
    <x v="135"/>
    <m/>
    <s v="HR55AC3791"/>
    <n v="18"/>
  </r>
  <r>
    <s v="791256703295"/>
    <s v="07AAQFC6975N1ZH / CRETA PACKAGING"/>
    <s v="05AAECM6380J1ZA / M/S M R HealthCare Pvt. Ltd."/>
    <s v="North West Delhi / 110042"/>
    <s v="RAMNAGAR / 244715"/>
    <s v="791256703295 - 03/05/2022 15:38:00"/>
    <s v="22-23/12"/>
    <d v="2022-05-01T00:00:00"/>
    <n v="98559"/>
    <n v="17740.62"/>
    <x v="23"/>
    <m/>
    <s v="UK18CA6669"/>
    <n v="18"/>
  </r>
  <r>
    <s v="721257863555"/>
    <s v="08AGTPB5912H1ZA / ONS PHARMACEUTICAL"/>
    <s v="05AAECM6380J1ZA / MR HEALTHCARE PVT LTD"/>
    <s v="JAIPUR / 302003"/>
    <s v="NANITAL / 244715"/>
    <s v="721257863555 - 07/05/2022 21:39:00"/>
    <s v="22-23/000376"/>
    <d v="2022-05-07T00:00:00"/>
    <n v="23561.78"/>
    <n v="4241.12"/>
    <x v="134"/>
    <s v="TERBINAFINE HYDROCHLORIDE IP"/>
    <s v="DL01LAC2874"/>
    <n v="17.999998302335392"/>
  </r>
  <r>
    <s v="631421648638"/>
    <s v="24AABFC0922C1ZC / COREL PHARMA CHEM"/>
    <s v="05AAECM6380J1ZA / M. R. Healthcare Private Limited"/>
    <s v="Mehsana / 382715"/>
    <s v="Nainital / 244715"/>
    <s v="631421648638 - 20/05/2022 19:30:00"/>
    <s v="INV/22-23/01243"/>
    <d v="2022-05-20T00:00:00"/>
    <n v="198000"/>
    <n v="35640"/>
    <x v="149"/>
    <s v="Acrysol K-140 (20 Kg)"/>
    <m/>
    <n v="18"/>
  </r>
  <r>
    <s v="631419675990"/>
    <s v="26AAACA3345D1Z8 / Amisha Vinyls Pvt. Ltd."/>
    <s v="05AAECM6380J1ZA / M.R.HEALTHCARE PVT.LTD."/>
    <s v="Daman / 396210"/>
    <s v="NAINITAL / 244715"/>
    <s v="631419675990 - 14/05/2022 13:18:00"/>
    <n v="493"/>
    <d v="2022-05-14T00:00:00"/>
    <n v="188733.6"/>
    <m/>
    <x v="12"/>
    <s v="Pharma grade - 01 - Blue Tone - 0.25mm Thick - 184mm Width - Paper Core 9 - BOX - WL"/>
    <s v="UK06CA9401"/>
    <n v="0"/>
  </r>
  <r>
    <s v="661416222433"/>
    <s v="23AAICS4399B2ZB / Saikripa Packaging (A Unit of Shiv Offset (India) Pvt Ltd)"/>
    <s v="05AAECM6380J1ZA / M/S M R HealthCare Pvt. Ltd."/>
    <s v="Indore / 452015"/>
    <s v="NAINITAL / 244715"/>
    <s v="661416222433 - 06/05/2022 16:44:00"/>
    <s v="SKSB/0098"/>
    <d v="2022-04-18T00:00:00"/>
    <n v="7247.16"/>
    <n v="1304.49"/>
    <x v="20"/>
    <s v="PHARMA PACKING MATERIAL"/>
    <s v="UK18CA6566"/>
    <n v="18.00001655821039"/>
  </r>
  <r>
    <s v="621415918010"/>
    <s v="24AAACO3086D1ZS / ORCHEV PHARMA Private Limited"/>
    <s v="05AAECM6380J1ZA / M/S M R HealthCare Pvt. Ltd."/>
    <s v="VERAVAL SHAPAR / 360024"/>
    <s v="NAINITAL RAMNAGAR / 244715"/>
    <s v="621415918010 - 03/05/2022 18:42:00"/>
    <s v="17L2223"/>
    <d v="2022-05-03T00:00:00"/>
    <n v="112500"/>
    <n v="20250"/>
    <x v="115"/>
    <s v="Ranitidine HCI"/>
    <s v="UK18CA3673"/>
    <n v="18"/>
  </r>
  <r>
    <s v="571368926322"/>
    <s v="33AABCL4913B1Z5 / LEISTER TECHNOLOGIES INDIA PRIVATE LIMITED"/>
    <s v="05AAECM6380J1ZA / M/S M R HealthCare Pvt. Ltd."/>
    <s v="Alandur / 600016"/>
    <s v="RAMNAGAR / 244715"/>
    <s v="571368926322 - 14/05/2022 02:20:00"/>
    <s v="22/TNAR/284986"/>
    <d v="2022-05-12T00:00:00"/>
    <n v="45761"/>
    <n v="8236.98"/>
    <x v="150"/>
    <s v="Heater type 3000, 220-230V/3000-3300W"/>
    <s v="UK06CB4257"/>
    <n v="18"/>
  </r>
  <r>
    <s v="411250281428"/>
    <s v="09BGUPK3260M1ZP / SHRI ENTERPRISES"/>
    <s v="05AAECM6380J1ZA / M R HEALTHCARE PVT LTD"/>
    <s v="SAHARANPUR / 247001"/>
    <s v="/ 244715"/>
    <s v="411250281428 - 12/05/2022 00:23:00"/>
    <n v="27"/>
    <d v="2022-05-11T00:00:00"/>
    <n v="43338"/>
    <n v="7800.84"/>
    <x v="21"/>
    <s v="PAPER"/>
    <s v="UK18CA3698"/>
    <n v="18"/>
  </r>
  <r>
    <s v="341452502383"/>
    <s v="05ALGPC9789H1ZQ / OM PHARMACEUTICALS"/>
    <s v="05AAECM6380J1ZA / M/S M R HealthCare Pvt. Ltd."/>
    <s v="Haridwar / 249402"/>
    <s v="RAMNAGAR / 244715"/>
    <s v="341452502383 - 28/05/2022 21:43:00"/>
    <s v="Op/00082/2022-23"/>
    <d v="2022-05-28T00:00:00"/>
    <n v="263500"/>
    <n v="47430"/>
    <x v="26"/>
    <s v="Pvpk30"/>
    <s v="UK17CA1878"/>
    <n v="18"/>
  </r>
  <r>
    <s v="371450788364"/>
    <s v="05AASFR5565R1Z4 / M/S ROORKEE FOIL"/>
    <s v="05AAECM6380J1ZA / M/S M R HealthCare Pvt. Ltd."/>
    <s v="Haridwar / 247667"/>
    <s v="RAMNAGAR / 244715"/>
    <s v="371450788364 - 24/05/2022 23:37:00"/>
    <s v="RK/22-23/0411"/>
    <d v="2022-05-24T00:00:00"/>
    <n v="50868.1"/>
    <n v="9156.26"/>
    <x v="20"/>
    <s v="BLISTER FOIL PRINTED"/>
    <s v="UK18CA3698"/>
    <n v="18.000003931737179"/>
  </r>
  <r>
    <s v="391449752769"/>
    <s v="05ABDPK4467D1ZX / Suresh Chandra Anil Kumar"/>
    <s v="05AAECM6380J1ZA / MR Healthcare Pvt. Ltd., Ramnagar"/>
    <s v="RAMNAGAR / 244715"/>
    <s v="Ramnagar / 244715"/>
    <s v="391449752769 - 21/05/2022 13:50:00"/>
    <n v="270"/>
    <d v="2022-05-21T00:00:00"/>
    <n v="235593"/>
    <n v="42406.74"/>
    <x v="74"/>
    <s v="Pvc Pipe Vectus 110mm"/>
    <s v="UK04CA1223"/>
    <n v="18"/>
  </r>
  <r>
    <s v="311448914650"/>
    <s v="05ALGPC9789H1ZQ / OM PHARMACEUTICALS"/>
    <s v="05AAECM6380J1ZA / M/S M R HealthCare Pvt. Ltd."/>
    <s v="Haridwar / 249402"/>
    <s v="RAMNAGAR / 244715"/>
    <s v="311448914650 - 19/05/2022 21:11:00"/>
    <s v="OP/00069/2022-23"/>
    <d v="2022-05-19T00:00:00"/>
    <n v="166125"/>
    <n v="29902.5"/>
    <x v="3"/>
    <s v="MANNITOL IP"/>
    <s v="UK17CA1878"/>
    <n v="18"/>
  </r>
  <r>
    <s v="351447808541"/>
    <s v="05ABIPT0216G1ZY / M/S Gautam Minirals Chemicals"/>
    <s v="05AAECM6380J1ZA / M/S M R HealthCare Pvt. Ltd."/>
    <s v="Nainital / 263139"/>
    <s v="RAMNAGAR / 244715"/>
    <s v="351447808541 - 16/05/2022 20:07:00"/>
    <s v="22-23/078"/>
    <d v="2022-05-16T00:00:00"/>
    <n v="209750"/>
    <n v="25170"/>
    <x v="16"/>
    <m/>
    <s v="UP75M4906"/>
    <n v="12"/>
  </r>
  <r>
    <s v="321445317136"/>
    <s v="05ABEFS5359M1ZP / M/S S.S. Industries"/>
    <s v="05AAECM6380J1ZA / M/S M R HealthCare Pvt. Ltd."/>
    <s v="Dehradun / 248011"/>
    <s v="RAMNAGAR / 244715"/>
    <s v="321445317136 - 11/05/2022 10:28:00"/>
    <n v="310"/>
    <d v="2022-05-10T00:00:00"/>
    <n v="84825"/>
    <n v="15268.5"/>
    <x v="4"/>
    <m/>
    <s v="UK18CA4767"/>
    <n v="18"/>
  </r>
  <r>
    <s v="391444731859"/>
    <s v="05AIEPA8211D1Z1 / M/S RADHIKA PAPERS"/>
    <s v="05AAECM6380J1ZA / M/S M R HealthCare Pvt. Ltd."/>
    <s v="Udham Singh Nagar / 244713"/>
    <s v="RAMNAGAR / 244715"/>
    <s v="391444731859 - 08/05/2022 16:48:00"/>
    <n v="43"/>
    <d v="2022-05-08T00:00:00"/>
    <n v="82485"/>
    <n v="9898.2000000000007"/>
    <x v="63"/>
    <s v="Writing Printing Paper"/>
    <s v="UK18CA5146"/>
    <n v="12.000000000000002"/>
  </r>
  <r>
    <s v="311443617613"/>
    <s v="05KBGPS5273E1ZC / SUNDERAM PACKAGING"/>
    <s v="05AAECM6380J1ZA / M/S M R HealthCare Pvt. Ltd."/>
    <s v="Udham Singh Nagar / 263153"/>
    <s v="RAMNAGAR / 244715"/>
    <s v="311443617613 - 06/05/2022 06:12:00"/>
    <s v="SP60"/>
    <d v="2022-05-05T00:00:00"/>
    <n v="102504"/>
    <n v="18450.72"/>
    <x v="47"/>
    <s v="FOIL"/>
    <s v="UK06CB1942"/>
    <n v="18"/>
  </r>
  <r>
    <s v="301443635498"/>
    <s v="05ALGPC9789H1ZQ / OM PHARMACEUTICALS"/>
    <s v="05AAECM6380J1ZA / M/S M R HealthCare Pvt. Ltd."/>
    <s v="Haridwar / 249402"/>
    <s v="RAMNAGAR / 244715"/>
    <s v="301443635498 - 05/05/2022 21:44:00"/>
    <s v="OP/00051/2022-23"/>
    <d v="2022-05-05T00:00:00"/>
    <n v="10500"/>
    <n v="525"/>
    <x v="122"/>
    <s v="TALCUM IP"/>
    <s v="UK18CA3698"/>
    <n v="5"/>
  </r>
  <r>
    <s v="321442301314"/>
    <s v="05ALGPC9789H1ZQ / OM PHARMACEUTICALS"/>
    <s v="05AAECM6380J1ZA / M/S M R HealthCare Pvt. Ltd."/>
    <s v="Haridwar / 249402"/>
    <s v="RAMNAGAR / 244715"/>
    <s v="321442301314 - 02/05/2022 22:08:00"/>
    <s v="OP/00044/2022-23"/>
    <d v="2022-05-02T00:00:00"/>
    <n v="90000"/>
    <n v="16200"/>
    <x v="22"/>
    <s v="ASPARTAME"/>
    <s v="UK18CA4767"/>
    <n v="18"/>
  </r>
  <r>
    <s v="381442135964"/>
    <s v="03AABCS6468G1ZD / Nectar Lifesciences Limited"/>
    <s v="05AAECM6380J1ZA / M.R. HEALTHCARE PVT. LTD."/>
    <s v="Derabassi-(Punjab) / 140507"/>
    <s v="RAMNAGAR-(Uttarakhand) / 244715"/>
    <s v="381442135964 - 01/05/2022 10:20:00"/>
    <n v="2210135"/>
    <d v="2022-04-30T00:00:00"/>
    <n v="1270000"/>
    <m/>
    <x v="33"/>
    <s v="CEFIXIME (TRIHYDRATE FORM) IP (COMP.)"/>
    <s v="UK12CB0926"/>
    <n v="0"/>
  </r>
  <r>
    <s v="371453185096"/>
    <s v="05AASFR5565R1Z4 / M/S ROORKEE FOIL"/>
    <s v="05AAECM6380J1ZA / M/S M R HealthCare Pvt. Ltd."/>
    <s v="Haridwar / 247667"/>
    <s v="RAMNAGAR / 244715"/>
    <s v="371453185096 - 30/05/2022 22:33:00"/>
    <s v="RK/22-23/0472"/>
    <d v="2022-05-30T00:00:00"/>
    <n v="100994.4"/>
    <n v="18179"/>
    <x v="20"/>
    <s v="BLISTER FOIL PRINTED"/>
    <s v="UK18CA3698"/>
    <n v="18.000007921231276"/>
  </r>
  <r>
    <s v="371453145889"/>
    <s v="05AAJFB5728K1ZA / Blize Printers 2022-23"/>
    <s v="05AAECM6380J1ZA / M.R. HEALTHCARE PVT. LTD."/>
    <s v="/ 247661"/>
    <s v="/ 244715"/>
    <s v="371453145889 - 30/05/2022 22:33:00"/>
    <s v="BP/22-23/0711"/>
    <d v="2022-05-30T00:00:00"/>
    <n v="133016.54999999999"/>
    <n v="23942.98"/>
    <x v="8"/>
    <s v="Carton"/>
    <s v="UK18CA3698"/>
    <n v="18.00000075178615"/>
  </r>
  <r>
    <s v="361453331287"/>
    <s v="05AAJFB5728K1ZA / Blize Printers 2022-23"/>
    <s v="05AAECM6380J1ZA / M.R. HEALTHCARE PVT. LTD."/>
    <s v="/ 247661"/>
    <s v="/ 244715"/>
    <s v="361453331287 - 30/05/2022 22:33:00"/>
    <s v="BP/22-23/0727"/>
    <d v="2022-05-30T00:00:00"/>
    <n v="317434"/>
    <n v="53975.24"/>
    <x v="8"/>
    <s v="Carton"/>
    <s v="UK18CA3698"/>
    <n v="17.003610199285522"/>
  </r>
  <r>
    <s v="311452552826"/>
    <s v="05ABAPK2139D1ZB / MOHIT TRADERS(22-23)"/>
    <s v="05AAECM6380J1ZA / M R HEALTHCARE PVT LTD"/>
    <s v="SABITGARH / 203129"/>
    <s v="RAMNAGAR / 244715"/>
    <s v="311452552826 - 28/05/2022 14:50:00"/>
    <s v="MT/00547/22-23"/>
    <d v="2022-05-28T00:00:00"/>
    <n v="126000"/>
    <n v="6300"/>
    <x v="15"/>
    <s v="Sugar"/>
    <s v="UP17T0841"/>
    <n v="5"/>
  </r>
  <r>
    <s v="371451177842"/>
    <s v="06AYEPS2518M1Z4 / FORTUNE SOURCING"/>
    <s v="05AAECM6380J1ZA / M/S M R HealthCare Pvt. Ltd."/>
    <s v="Gurugram / 122001"/>
    <s v="RAMNAGAR / 244715"/>
    <s v="371451177842 - 25/05/2022 22:06:00"/>
    <s v="FS/0047/2022-23"/>
    <d v="2022-05-25T00:00:00"/>
    <n v="161581"/>
    <n v="29084.58"/>
    <x v="10"/>
    <s v="LAMI TUBE"/>
    <s v="UK18CA1202"/>
    <n v="18"/>
  </r>
  <r>
    <s v="371451121823"/>
    <s v="05AAACV6060A2ZU / VIVIMED LABS LIMITED"/>
    <s v="05AAECM6380J1ZA / M/S M R HealthCare Pvt. Ltd."/>
    <s v="Udham Singh Nagar / 244713"/>
    <s v="RAMNAGAR / 244715"/>
    <s v="371451121823 - 25/05/2022 12:35:00"/>
    <s v="GST-0176"/>
    <d v="2022-05-25T00:00:00"/>
    <n v="130068.75"/>
    <n v="23412.38"/>
    <x v="107"/>
    <s v="RAW MATERIAL"/>
    <s v="UK18CA6566"/>
    <n v="18.000003844120897"/>
  </r>
  <r>
    <s v="371450311889"/>
    <s v="05AAJFB5728K1ZA / Blize Printers 2022-23"/>
    <s v="05AAECM6380J1ZA / M.R. HEALTHCARE PVT. LTD."/>
    <s v="/ 247661"/>
    <s v="/ 244715"/>
    <s v="371450311889 - 23/05/2022 22:01:00"/>
    <s v="BP/22-23/0617"/>
    <d v="2022-05-23T00:00:00"/>
    <n v="57672.5"/>
    <n v="10381.06"/>
    <x v="8"/>
    <s v="Carton"/>
    <s v="UK18CA4767"/>
    <n v="18.000017339286487"/>
  </r>
  <r>
    <s v="391449418874"/>
    <s v="05FYDPS0716P2ZZ / PHARMA PACK"/>
    <s v="05AAECM6380J1ZA / M/S M R HealthCare Pvt. Ltd."/>
    <s v="Haridwar / 247667"/>
    <s v="RAMNAGAR / 244715"/>
    <s v="391449418874 - 21/05/2022 00:05:00"/>
    <s v="PP/043"/>
    <d v="2022-05-20T00:00:00"/>
    <n v="56251.15"/>
    <n v="10125.200000000001"/>
    <x v="47"/>
    <s v="ALUMINIUM"/>
    <s v="UK18CA3698"/>
    <n v="17.999987555809973"/>
  </r>
  <r>
    <s v="311449470601"/>
    <s v="05AABCA8568R1ZZ / ABS Mercantiles Pvt. Ltd."/>
    <s v="05AAECM6380J1ZA / M.R. HEALTHCARE PVT. LTD."/>
    <s v="UTTARAKHAND / 247667"/>
    <s v="Ram Nagar / 244715"/>
    <s v="311449470601 - 21/05/2022 00:03:00"/>
    <s v="ABSR/22-23/0075"/>
    <d v="2022-05-20T00:00:00"/>
    <n v="371658.74"/>
    <n v="66898"/>
    <x v="1"/>
    <s v="Itraconazole Pellets 22% BP"/>
    <s v="UK18CA3698"/>
    <n v="17.99984577249549"/>
  </r>
  <r>
    <s v="331448037148"/>
    <s v="06AYEPS2518M1Z4 / FORTUNE SOURCING"/>
    <s v="05AAECM6380J1ZA / M/S M R HealthCare Pvt. Ltd."/>
    <s v="Gurugram / 122001"/>
    <s v="RAMNAGAR / 244715"/>
    <s v="331448037148 - 19/05/2022 22:23:00"/>
    <s v="FS/0040/2022-23"/>
    <d v="2022-05-17T00:00:00"/>
    <n v="79404"/>
    <n v="14292.72"/>
    <x v="10"/>
    <s v="LAMI TUBE"/>
    <s v="UK06CB1942"/>
    <n v="18"/>
  </r>
  <r>
    <s v="351448613481"/>
    <s v="05ADVFS5795G1Z9 / SHRI KRISHNA POLYMER"/>
    <s v="05AAECM6380J1ZA / M/S M R HealthCare Pvt. Ltd."/>
    <s v="Haridwar / 247667"/>
    <s v="RAMNAGAR / 244715"/>
    <s v="351448613481 - 18/05/2022 23:44:00"/>
    <n v="195"/>
    <d v="2022-05-18T00:00:00"/>
    <n v="130927.5"/>
    <n v="23566.959999999999"/>
    <x v="6"/>
    <s v="pvc film"/>
    <s v="UK18CA3698"/>
    <n v="18.000007637814821"/>
  </r>
  <r>
    <s v="371448609361"/>
    <s v="05ABNPA6018N2ZK / Manish Pharma"/>
    <s v="05AAECM6380J1ZA / MR HEALTHCARE PVT LTD"/>
    <s v="ROORKEE / 247667"/>
    <s v="KOSI ROAD,RAMNAGAR / 244715"/>
    <s v="371448609361 - 18/05/2022 19:36:00"/>
    <s v="MPR/22-23/0637"/>
    <d v="2022-05-18T00:00:00"/>
    <n v="1154577"/>
    <n v="207823.86"/>
    <x v="32"/>
    <s v="AMOXICILLIN TRI. IP/BP (COMP.) (VARDHMAN)"/>
    <s v="UK18CA1896"/>
    <n v="18"/>
  </r>
  <r>
    <s v="351448204694"/>
    <s v="02AAKHR0337K1Z8 / AVIS ENTERPRISES"/>
    <s v="05AAECM6380J1ZA / MR HEALTHCARE PVT LTD"/>
    <s v="BADDI / 173205"/>
    <s v="NAINITAL / 244715"/>
    <s v="351448204694 - 17/05/2022 19:00:00"/>
    <s v="AVIS/0013/22-23"/>
    <d v="2022-05-17T00:00:00"/>
    <n v="106000"/>
    <n v="19080"/>
    <x v="5"/>
    <s v="PINKT/CT - 2"/>
    <s v="HP938276"/>
    <n v="18"/>
  </r>
  <r>
    <s v="311448174027"/>
    <s v="02AAACR6057R1Z1 / ROHAN PHARMA PVT LTD"/>
    <s v="05AAECM6380J1ZA / MRHEALTHCARE PVT LTD"/>
    <s v="BADDI / 173205"/>
    <s v="RAM NAGAR / 244715"/>
    <s v="311448174027 - 17/05/2022 18:10:00"/>
    <s v="RPHP/0447/22-23"/>
    <d v="2022-05-17T00:00:00"/>
    <n v="208000"/>
    <n v="37440"/>
    <x v="5"/>
    <s v="ORANGE/WHITE - 2"/>
    <s v="HP938276"/>
    <n v="18"/>
  </r>
  <r>
    <s v="341448016265"/>
    <s v="05ABNFA2675D1ZK / AURA PACKAGING"/>
    <s v="05AAECM6380J1ZA / M/S M R HealthCare Pvt. Ltd."/>
    <s v="Udham Singh Nagar / 263153"/>
    <s v="RAMNAGAR / 244715"/>
    <s v="341448016265 - 17/05/2022 14:01:00"/>
    <s v="AP/2022-23/00108"/>
    <d v="2022-05-17T00:00:00"/>
    <n v="49466.5"/>
    <n v="8903.9599999999991"/>
    <x v="23"/>
    <m/>
    <s v="UK06CB7086"/>
    <n v="17.999979784298461"/>
  </r>
  <r>
    <s v="351446601053"/>
    <s v="05AAKFV1624K1Z2 / VYALI INTERNATIONAL"/>
    <s v="05AAECM6380J1ZA / M.R HEALTHCARE PVT LTD KASHIPUR"/>
    <s v="ROORKEE / 247667"/>
    <s v="RAMNAGAR / 244715"/>
    <s v="351446601053 - 14/05/2022 01:58:00"/>
    <s v="RRK/A000143"/>
    <d v="2022-05-13T00:00:00"/>
    <n v="252500"/>
    <n v="45450"/>
    <x v="1"/>
    <s v="29420090"/>
    <s v="UK17CA4642"/>
    <n v="18"/>
  </r>
  <r>
    <s v="361446319625"/>
    <s v="05FYDPS0716P2ZZ / PHARMA PACK"/>
    <s v="05AAECM6380J1ZA / M/S M R HealthCare Pvt. Ltd."/>
    <s v="Haridwar / 247667"/>
    <s v="RAMNAGAR / 244715"/>
    <s v="361446319625 - 12/05/2022 23:35:00"/>
    <s v="PP/031"/>
    <d v="2022-05-12T00:00:00"/>
    <n v="71760.55"/>
    <n v="12916.9"/>
    <x v="47"/>
    <s v="PACKING MATERIAL"/>
    <s v="UK18TA0659"/>
    <n v="18.00000139352332"/>
  </r>
  <r>
    <s v="301445720974"/>
    <s v="05AAJFB5728K1ZA / Blize Printers 2022-23"/>
    <s v="05AAECM6380J1ZA / M.R. HEALTHCARE PVT. LTD."/>
    <s v="/ 247661"/>
    <s v="/ 244715"/>
    <s v="301445720974 - 12/05/2022 00:23:00"/>
    <s v="BP/22-23/0462"/>
    <d v="2022-05-11T00:00:00"/>
    <n v="62000.59"/>
    <n v="11160.1"/>
    <x v="8"/>
    <s v="Carton"/>
    <s v="UK18CA3698"/>
    <n v="17.99999000009516"/>
  </r>
  <r>
    <s v="331445764616"/>
    <s v="06AABCF5740N1ZG / Alutech Packaging Private Limited"/>
    <s v="05AAECM6380J1ZA / M R HEALTHCARE PVT LTD"/>
    <s v="Bahadurgarh / 124507"/>
    <s v="NANITAL / 244715"/>
    <s v="331445764616 - 11/05/2022 13:07:00"/>
    <s v="APPL/22-23/842"/>
    <d v="2022-05-11T00:00:00"/>
    <n v="856813.7"/>
    <n v="154226.47"/>
    <x v="14"/>
    <s v="Aluminium Foil"/>
    <m/>
    <n v="18.000000466845943"/>
  </r>
  <r>
    <s v="311444559145"/>
    <s v="05ADVFS5795G1Z9 / SHRI KRISHNA POLYMER"/>
    <s v="05AAECM6380J1ZA / M/S M R HealthCare Pvt. Ltd."/>
    <s v="Haridwar / 247667"/>
    <s v="RAMNAGAR / 244715"/>
    <s v="311444559145 - 07/05/2022 23:31:00"/>
    <n v="153"/>
    <d v="2022-05-07T00:00:00"/>
    <n v="54739"/>
    <n v="9853.02"/>
    <x v="12"/>
    <s v="PVC FILM"/>
    <s v="UK18CA3698"/>
    <n v="18"/>
  </r>
  <r>
    <s v="301444516329"/>
    <s v="05AAJFB5728K1ZA / Blize Printers 2022-23"/>
    <s v="05AAECM6380J1ZA / M.R. HEALTHCARE PVT. LTD."/>
    <s v="/ 247661"/>
    <s v="/ 244715"/>
    <s v="301444516329 - 07/05/2022 23:31:00"/>
    <s v="BP/22-23/0414"/>
    <d v="2022-05-07T00:00:00"/>
    <n v="43388"/>
    <n v="7809.84"/>
    <x v="8"/>
    <s v="Carton"/>
    <s v="UK18CA3698"/>
    <n v="18"/>
  </r>
  <r>
    <s v="351444025312"/>
    <s v="05BTNPD9977N2ZP / MUDRA PRESS"/>
    <s v="05AAECM6380J1ZA / M/S M R HealthCare Pvt. Ltd."/>
    <s v="Dehradun / 248001"/>
    <s v="RAMNAGAR / 244715"/>
    <s v="351444025312 - 06/05/2022 20:01:00"/>
    <s v="MP/22-23/28"/>
    <d v="2022-05-06T00:00:00"/>
    <n v="53305"/>
    <n v="9594.9"/>
    <x v="4"/>
    <m/>
    <s v="UK18CA4767"/>
    <n v="18"/>
  </r>
  <r>
    <s v="361443602573"/>
    <s v="05AASFR5565R1Z4 / M/S ROORKEE FOIL"/>
    <s v="05AAECM6380J1ZA / M/S M R HealthCare Pvt. Ltd."/>
    <s v="Haridwar / 247667"/>
    <s v="RAMNAGAR / 244715"/>
    <s v="361443602573 - 05/05/2022 23:41:00"/>
    <s v="RK/22-23/0279"/>
    <d v="2022-05-05T00:00:00"/>
    <n v="52725.599999999999"/>
    <n v="9490.6"/>
    <x v="20"/>
    <s v="BLISTER FOIL PRINTED"/>
    <s v="UK18CA3698"/>
    <n v="17.999984827104861"/>
  </r>
  <r>
    <s v="371443543275"/>
    <s v="05AAJFB5728K1ZA / Blize Printers 2022-23"/>
    <s v="05AAECM6380J1ZA / M.R. HEALTHCARE PVT. LTD."/>
    <s v="/ 247661"/>
    <s v="/ 244715"/>
    <s v="371443543275 - 05/05/2022 23:41:00"/>
    <s v="BP/22-23/0383"/>
    <d v="2022-05-05T00:00:00"/>
    <n v="50962.8"/>
    <n v="9173.2999999999993"/>
    <x v="8"/>
    <s v="Carton"/>
    <s v="UK18CA3698"/>
    <n v="17.99999215113769"/>
  </r>
  <r>
    <s v="331443621524"/>
    <s v="05ALGPC9789H1ZQ / OM PHARMACEUTICALS"/>
    <s v="05AAECM6380J1ZA / M/S M R HealthCare Pvt. Ltd."/>
    <s v="Haridwar / 249402"/>
    <s v="RAMNAGAR / 244715"/>
    <s v="331443621524 - 05/05/2022 21:44:00"/>
    <s v="OP/00050/2022-23"/>
    <d v="2022-05-05T00:00:00"/>
    <n v="111800"/>
    <n v="20124"/>
    <x v="94"/>
    <s v="PROPYLENE GLYCOL IP"/>
    <s v="UK18A3698"/>
    <n v="18"/>
  </r>
  <r>
    <s v="351443225830"/>
    <s v="06AYEPS2518M1Z4 / FORTUNE SOURCING"/>
    <s v="05AAECM6380J1ZA / M/S M R HealthCare Pvt. Ltd."/>
    <s v="Gurugram / 122001"/>
    <s v="RAMNAGAR / 244715"/>
    <s v="351443225830 - 05/05/2022 21:05:00"/>
    <s v="FS/0029/2022-23"/>
    <d v="2022-05-04T00:00:00"/>
    <n v="111175.2"/>
    <n v="20011.54"/>
    <x v="10"/>
    <s v="LAMI TUBE"/>
    <s v="UK06CB1942"/>
    <n v="18.000003597924717"/>
  </r>
  <r>
    <s v="311443728353"/>
    <s v="05ANTPS9188H1Z0 / G K PHARMA"/>
    <s v="05AAECM6380J1ZA / MR HEALTHCARE PVT LTD"/>
    <s v="ROORKEE / 247667"/>
    <s v="RAMNAGAR / 244715"/>
    <s v="311443728353 - 05/05/2022 19:36:00"/>
    <s v="GKUK/0173/22-23"/>
    <d v="2022-05-05T00:00:00"/>
    <n v="109000"/>
    <n v="19620"/>
    <x v="5"/>
    <m/>
    <s v="UK17CA3781"/>
    <n v="18"/>
  </r>
  <r>
    <s v="391443181365"/>
    <s v="05AABCA8568R1ZZ / ABS Mercantiles Pvt. Ltd."/>
    <s v="05AAECM6380J1ZA / M.R. HEALTHCARE PVT. LTD."/>
    <s v="UTTARAKHAND / 247667"/>
    <s v="Ram Nagar / 244715"/>
    <s v="391443181365 - 04/05/2022 23:12:00"/>
    <s v="ABSR/22-23/0049"/>
    <d v="2022-05-04T00:00:00"/>
    <n v="371658.74"/>
    <n v="66898"/>
    <x v="1"/>
    <s v="Itraconazole Pellets 22% BP"/>
    <s v="UK18CA3698"/>
    <n v="17.99984577249549"/>
  </r>
  <r>
    <s v="361443210277"/>
    <s v="05ABSFA7387F1Z0 / AASTHA MEDI SOLUTIONS"/>
    <s v="05AAECM6380J1ZA / M/S M R HealthCare Pvt. Ltd."/>
    <s v="Haridwar / 247667"/>
    <s v="RAMNAGAR / 244715"/>
    <s v="361443210277 - 04/05/2022 16:41:00"/>
    <n v="125"/>
    <d v="2022-05-04T00:00:00"/>
    <n v="6600"/>
    <n v="1188"/>
    <x v="11"/>
    <s v="PRINTED CYLINDER ROLL"/>
    <s v="UK18CA3698"/>
    <n v="18"/>
  </r>
  <r>
    <s v="321443207909"/>
    <s v="05ABSFA7387F1Z0 / AASTHA MEDI SOLUTIONS"/>
    <s v="05AAECM6380J1ZA / M/S M R HealthCare Pvt. Ltd."/>
    <s v="Haridwar / 247667"/>
    <s v="RAMNAGAR / 244715"/>
    <s v="321443207909 - 04/05/2022 16:38:00"/>
    <n v="124"/>
    <d v="2022-05-04T00:00:00"/>
    <n v="52470"/>
    <n v="9444.6"/>
    <x v="14"/>
    <s v="ALUMINIUM PRINTED FOIL"/>
    <s v="UK18CA3698"/>
    <n v="18"/>
  </r>
  <r>
    <s v="301442718589"/>
    <s v="05BTNPD9977N2ZP / MUDRA PRESS"/>
    <s v="05AAECM6380J1ZA / M/S M R HealthCare Pvt. Ltd."/>
    <s v="Dehradun / 248001"/>
    <s v="RAMNAGAR / 244715"/>
    <s v="301442718589 - 03/05/2022 21:00:00"/>
    <s v="MP/22-23/24"/>
    <d v="2022-05-03T00:00:00"/>
    <n v="89442"/>
    <n v="16099.56"/>
    <x v="4"/>
    <m/>
    <s v="UK18CA6669"/>
    <n v="18"/>
  </r>
  <r>
    <s v="321442405827"/>
    <s v="05AAJFB5728K1ZA / Blize Printers 2022-23"/>
    <s v="05AAECM6380J1ZA / M.R. HEALTHCARE PVT. LTD."/>
    <s v="/ 247661"/>
    <s v="/ 244715"/>
    <s v="321442405827 - 02/05/2022 23:42:00"/>
    <s v="BP/22-23/0350"/>
    <d v="2022-05-02T00:00:00"/>
    <n v="63066.25"/>
    <n v="11351.94"/>
    <x v="8"/>
    <s v="Carton"/>
    <s v="UK18CA4767"/>
    <n v="18.000023784512319"/>
  </r>
  <r>
    <s v="311442434518"/>
    <s v="05BTNPD9977N2ZP / MUDRA PRESS"/>
    <s v="05AAECM6380J1ZA / M/S M R HealthCare Pvt. Ltd."/>
    <s v="Dehradun / 248001"/>
    <s v="RAMNAGAR / 244715"/>
    <s v="311442434518 - 02/05/2022 21:33:00"/>
    <s v="MP/22-23/23"/>
    <d v="2022-05-02T00:00:00"/>
    <n v="71706"/>
    <n v="12907.08"/>
    <x v="4"/>
    <m/>
    <s v="UK18CA4767"/>
    <n v="18"/>
  </r>
  <r>
    <s v="321442138176"/>
    <s v="03AABCS6468G1ZD / Nectar Lifesciences Limited"/>
    <s v="05AAECM6380J1ZA / M.R. HEALTHCARE PVT. LTD."/>
    <s v="Derabassi-(Punjab) / 140507"/>
    <s v="RAMNAGAR-(Uttarakhand) / 244715"/>
    <s v="321442138176 - 01/05/2022 10:30:00"/>
    <n v="1210130"/>
    <d v="2022-04-30T00:00:00"/>
    <n v="685000"/>
    <m/>
    <x v="33"/>
    <s v="CEFPODOXIME PROXETIL IP (COMP.)"/>
    <s v="UK12CB0926"/>
    <n v="0"/>
  </r>
  <r>
    <s v="341449729263"/>
    <s v="05AAJFB5728K1ZA / Blize Printers 2022-23"/>
    <s v="05AAECM6380J1ZA / M.R. HEALTHCARE PVT. LTD."/>
    <s v="/ 247661"/>
    <s v="/ 244715"/>
    <s v="341449729263 - 22/05/2022 00:17:00"/>
    <s v="BP/22-23/0601"/>
    <d v="2022-05-21T00:00:00"/>
    <n v="38117.199999999997"/>
    <n v="6861.1"/>
    <x v="8"/>
    <s v="Carton"/>
    <s v="UK17CA1878"/>
    <n v="18.000010493950239"/>
  </r>
  <r>
    <s v="331451695326"/>
    <s v="05AASFR5565R1Z4 / M/S ROORKEE FOIL"/>
    <s v="05AAECM6380J1ZA / M/S M R HealthCare Pvt. Ltd."/>
    <s v="Haridwar / 247667"/>
    <s v="RAMNAGAR / 244715"/>
    <s v="331451695326 - 27/05/2022 01:01:00"/>
    <s v="RK/22-23/0434"/>
    <d v="2022-05-26T00:00:00"/>
    <n v="82068.600000000006"/>
    <n v="14772.34"/>
    <x v="20"/>
    <s v="BLISTER FOIL PRINTED"/>
    <s v="UK17CA4358"/>
    <n v="17.999990252057422"/>
  </r>
  <r>
    <s v="321450877005"/>
    <s v="05AAJFB5728K1ZA / Blize Printers 2022-23"/>
    <s v="05AAECM6380J1ZA / M.R. HEALTHCARE PVT. LTD."/>
    <s v="/ 247661"/>
    <s v="/ 244715"/>
    <s v="321450877005 - 24/05/2022 23:37:00"/>
    <s v="BP/22-23/0642"/>
    <d v="2022-05-24T00:00:00"/>
    <n v="74912.600000000006"/>
    <n v="13484.28"/>
    <x v="8"/>
    <s v="Carton"/>
    <s v="UK18CA3698"/>
    <n v="18.000016018667086"/>
  </r>
  <r>
    <s v="361448529165"/>
    <s v="03AABCS6468G1ZD / Nectar Lifesciences Limited"/>
    <s v="05AAECM6380J1ZA / M.R. HEALTHCARE PVT. LTD."/>
    <s v="Derabassi-(Punjab) / 140507"/>
    <s v="RAMNAGAR-(Uttarakhand) / 244715"/>
    <s v="361448529165 - 18/05/2022 16:24:00"/>
    <n v="2210221"/>
    <d v="2022-05-18T00:00:00"/>
    <n v="635000"/>
    <m/>
    <x v="33"/>
    <s v="CEFIXIME (TRIHYDRATE FORM) IP (COMP.)"/>
    <s v="UK06CB2563"/>
    <n v="0"/>
  </r>
  <r>
    <s v="301447672615"/>
    <s v="05ABNPA6018N2ZK / Manish Pharma"/>
    <s v="05AAECM6380J1ZA / MR HEALTHCARE PVT LTD"/>
    <s v="ROORKEE / 247667"/>
    <s v="KOSI ROAD,RAMNAGAR / 244715"/>
    <s v="301447672615 - 17/05/2022 13:40:00"/>
    <s v="MPR/22-23/0595"/>
    <d v="2022-05-16T00:00:00"/>
    <n v="435217.5"/>
    <n v="78339.16"/>
    <x v="32"/>
    <s v="AMOXICILLIN TRI. IP/BP (COMP.) (VARDHMAN)"/>
    <s v="UK18CA1896"/>
    <n v="18.000002297701723"/>
  </r>
  <r>
    <s v="371445030519"/>
    <s v="05ABNPA6018N2ZK / Manish Pharma"/>
    <s v="05AAECM6380J1ZA / MR HEALTHCARE PVT LTD"/>
    <s v="ROORKEE / 247667"/>
    <s v="KOSI ROAD,RAMNAGAR / 244715"/>
    <s v="371445030519 - 10/05/2022 19:06:00"/>
    <s v="MPR/22-23/0493"/>
    <d v="2022-05-09T00:00:00"/>
    <n v="590295"/>
    <n v="106253.1"/>
    <x v="19"/>
    <s v="PARACETAMOL IP (MAKE:-FARMSON)"/>
    <s v="UK18CA0203"/>
    <n v="18"/>
  </r>
  <r>
    <s v="281427207784"/>
    <s v="27AABCS4582P1ZP / SHUBHAM PHARMACHEM PVT LTD"/>
    <s v="05AAECM6380J1ZA / M/S M R HealthCare Pvt. Ltd."/>
    <s v="RAHNAL VILLAGE BHIWANDI  THANE / 421302"/>
    <s v="RAMNAGAR / 244715"/>
    <s v="281427207784 - 10/05/2022 12:44:00"/>
    <s v="SPPL/22-23/D0614"/>
    <d v="2022-05-06T00:00:00"/>
    <n v="54500"/>
    <n v="2725"/>
    <x v="33"/>
    <s v="IP"/>
    <s v="UK18CA5709"/>
    <n v="5"/>
  </r>
  <r>
    <s v="251435702904"/>
    <s v="27AALPM0052B1Z6 / SHIVANSH PHARMA/YASHDEEP PHARMA NUTRACEUTICALS"/>
    <s v="05AAECM6380J1ZA / M/S M R HealthCare Pvt. Ltd."/>
    <s v="BHIWANDI / 421302"/>
    <s v="RAMNAGAR / 244715"/>
    <s v="251435702904 - 30/05/2022 18:30:00"/>
    <n v="47"/>
    <d v="2022-05-28T00:00:00"/>
    <n v="310500"/>
    <n v="55890"/>
    <x v="1"/>
    <s v="PRAZIQUANTEL USP"/>
    <s v="UK18CA4303"/>
    <n v="18"/>
  </r>
  <r>
    <s v="291431384667"/>
    <s v="27AABCS4582P1ZP / SHUBHAM PHARMACHEM PVT LTD"/>
    <s v="05AAECM6380J1ZA / M/S M R HealthCare Pvt. Ltd."/>
    <s v="RAHNAL VILLAGE BHIWANDI  THANE / 421302"/>
    <s v="RAMNAGAR / 244715"/>
    <s v="291431384667 - 20/05/2022 14:00:00"/>
    <s v="SPPL/22-23/D0805"/>
    <d v="2022-05-17T00:00:00"/>
    <n v="76000"/>
    <n v="13680"/>
    <x v="57"/>
    <s v="BP"/>
    <s v="UK18CA4767"/>
    <n v="18"/>
  </r>
  <r>
    <s v="241431559400"/>
    <s v="27AAFPP9715L1Z4 / ATMAN PHARMACEUTICALS"/>
    <s v="05AAECM6380J1ZA / M.R.HEALTHCARE PVT. LTD."/>
    <s v="DIST THANE / 421302"/>
    <s v="NAINITAL / 244715"/>
    <s v="241431559400 - 20/05/2022 14:00:00"/>
    <s v="SAL/0145"/>
    <d v="2022-05-18T00:00:00"/>
    <n v="210000"/>
    <n v="37800"/>
    <x v="29"/>
    <s v="PYRANTEL PAMOATE USP"/>
    <s v="UK18CA4364"/>
    <n v="18"/>
  </r>
  <r>
    <s v="221431636781"/>
    <s v="27AAEFG6529J1Z5 / GORANG INTERNATIONAL"/>
    <s v="05AAECM6380J1ZA / M. R. HEALTHCARE PVT. LTD"/>
    <s v="BHIWANDI / 421302"/>
    <s v="DIST. NAINIITAL / 244715"/>
    <s v="221431636781 - 20/05/2022 14:00:00"/>
    <s v="GI/0850"/>
    <d v="2022-05-18T00:00:00"/>
    <n v="1536000"/>
    <n v="276480"/>
    <x v="33"/>
    <s v="CEFOPERAZONE SODIUM STERILE"/>
    <s v="UP14KT6973"/>
    <n v="18"/>
  </r>
  <r>
    <s v="231428884367"/>
    <s v="27AAFCS9959Q1Z4 / SNEHA MEDICARE PVT LTD"/>
    <s v="05AAECM6380J1ZA / M R HEALTHCARE PVT LTD"/>
    <s v="BHIWANDI / 421302"/>
    <s v="DIST NAINITAL / 244715"/>
    <s v="231428884367 - 14/05/2022 19:20:00"/>
    <s v="H01060"/>
    <d v="2022-05-11T00:00:00"/>
    <n v="569000"/>
    <n v="102420"/>
    <x v="89"/>
    <s v="IBUPROFEN IP"/>
    <s v="DL01GC8961"/>
    <n v="18"/>
  </r>
  <r>
    <s v="201428907764"/>
    <s v="27AAFCS9959Q1Z4 / SNEHA MEDICARE PVT LTD"/>
    <s v="05AAECM6380J1ZA / M R HEALTHCARE PVT LTD"/>
    <s v="BHIWANDI / 421302"/>
    <s v="DIST NAINITAL / 244715"/>
    <s v="201428907764 - 14/05/2022 19:20:00"/>
    <s v="H01064"/>
    <d v="2022-05-11T00:00:00"/>
    <n v="103000"/>
    <n v="18540"/>
    <x v="39"/>
    <s v="TINIDAZOLE IP."/>
    <s v="DL01GC8961"/>
    <n v="18"/>
  </r>
  <r>
    <s v="201426832989"/>
    <s v="27AAFCS9959Q1Z4 / SNEHA MEDICARE PVT LTD"/>
    <s v="05AAECM6380J1ZA / M R HEALTHCARE PVT LTD"/>
    <s v="BHIWANDI / 421302"/>
    <s v="DIST NAINITAL / 244715"/>
    <s v="201426832989 - 11/05/2022 17:14:00"/>
    <s v="H00894"/>
    <d v="2022-05-06T00:00:00"/>
    <n v="172500"/>
    <n v="31050"/>
    <x v="89"/>
    <s v="IBUPROFEN IP"/>
    <s v="DL01GC8967"/>
    <n v="18"/>
  </r>
  <r>
    <s v="211428416078"/>
    <s v="27AAAFK6752B1ZL / KANCHAN RASAYAN"/>
    <s v="05AAECM6380J1ZA / M/S M R HealthCare Pvt. Ltd."/>
    <s v="BHIWANDI / 421302"/>
    <s v="UTTARANCHAL / 244715"/>
    <s v="211428416078 - 11/05/2022 14:52:00"/>
    <s v="KR00909"/>
    <d v="2022-05-10T00:00:00"/>
    <n v="30600"/>
    <n v="5508"/>
    <x v="75"/>
    <m/>
    <s v="UK12CB0926"/>
    <n v="18"/>
  </r>
  <r>
    <s v="291426451934"/>
    <s v="27AABCS4582P1ZP / SHUBHAM PHARMACHEM PVT LTD"/>
    <s v="05AAECM6380J1ZA / M/S M R HealthCare Pvt. Ltd."/>
    <s v="RAHNAL VILLAGE BHIWANDI  THANE / 421302"/>
    <s v="RAMNAGAR NAINITAL / 244715"/>
    <s v="291426451934 - 07/05/2022 19:23:00"/>
    <s v="SPPL/22-23/D0586"/>
    <d v="2022-05-05T00:00:00"/>
    <n v="172000"/>
    <n v="30960"/>
    <x v="1"/>
    <s v="IP"/>
    <s v="UK18CA5709"/>
    <n v="18"/>
  </r>
  <r>
    <s v="241426500455"/>
    <s v="27ABUPG6454D1ZF / HAP ENTERPRISE"/>
    <s v="05AAECM6380J1ZA / M R HEALTHCARE PVT LTD"/>
    <s v="THANE / 421302"/>
    <s v="NAINITAL / 244715"/>
    <s v="241426500455 - 07/05/2022 19:23:00"/>
    <n v="220390"/>
    <d v="2022-05-05T00:00:00"/>
    <n v="166904.24"/>
    <n v="30042.76"/>
    <x v="57"/>
    <s v="FEXOFENADINE HCL IP"/>
    <s v="UK18CA5709"/>
    <n v="17.999998082732951"/>
  </r>
  <r>
    <s v="211426420802"/>
    <s v="27AAFCS9959Q1Z4 / SNEHA MEDICARE PVT LTD"/>
    <s v="05AAECM6380J1ZA / M R HEALTHCARE PVT LTD"/>
    <s v="BHIWANDI / 421302"/>
    <s v="DIST NAINITAL / 244715"/>
    <s v="211426420802 - 07/05/2022 17:26:00"/>
    <s v="H00872"/>
    <d v="2022-05-05T00:00:00"/>
    <n v="275500"/>
    <n v="49590"/>
    <x v="29"/>
    <s v="SILDENAFIL CITRATE IP"/>
    <s v="UK18TA0659"/>
    <n v="18"/>
  </r>
  <r>
    <s v="261426155293"/>
    <s v="27AAEFG6529J1Z5 / GORANG INTERNATIONAL"/>
    <s v="05AAECM6380J1ZA / M. R. HEALTHCARE PVT. LTD"/>
    <s v="BHIWANDI / 421302"/>
    <s v="DIST. NAINIITAL / 244715"/>
    <s v="261426155293 - 05/05/2022 19:59:00"/>
    <s v="GI/0669"/>
    <d v="2022-05-04T00:00:00"/>
    <n v="1152000"/>
    <n v="207360"/>
    <x v="33"/>
    <s v="CEFOPERAZONE SODIUM STERILE"/>
    <s v="HR38T0499"/>
    <n v="18"/>
  </r>
  <r>
    <s v="261425461737"/>
    <s v="27AAAFH4055N1Z7 / HARESH CHEMICALS, PURNA VILLAGE, BHIWANDI"/>
    <s v="05AAECM6380J1ZA / M/S M R HealthCare Pvt. Ltd."/>
    <s v="PURNA VILLAGE, BHIWANDI / 421302"/>
    <s v="RAMNAGAR / 244715"/>
    <s v="261425461737 - 04/05/2022 15:33:00"/>
    <n v="110"/>
    <d v="2022-05-02T00:00:00"/>
    <n v="469465"/>
    <n v="84503.7"/>
    <x v="27"/>
    <s v="H L MEDICINE"/>
    <s v="HR38T0499"/>
    <n v="18"/>
  </r>
  <r>
    <s v="251425652677"/>
    <s v="27AAAFH4055N1Z7 / HARESH CHEMICALS"/>
    <s v="05AAECM6380J1ZA / M R Healthcare PVT LTD"/>
    <s v="DIST THANE / 421302"/>
    <s v="RAMNAGAR / 244715"/>
    <s v="251425652677 - 04/05/2022 15:33:00"/>
    <n v="112"/>
    <d v="2022-05-03T00:00:00"/>
    <n v="312906"/>
    <n v="56323"/>
    <x v="33"/>
    <s v="OFLOXACIN IP"/>
    <s v="UK18CA4812"/>
    <n v="17.999974433216366"/>
  </r>
  <r>
    <s v="221425390190"/>
    <s v="27AAACU6175D1ZC / UNNATI PHARMACEUTICALS PVT LTD"/>
    <s v="05AAECM6380J1ZA / M R HEALTHCARE PVT LTD"/>
    <s v="Dist Thane / 421302"/>
    <s v="RAMNAGAR / 244715"/>
    <s v="221425390190 - 03/05/2022 21:32:00"/>
    <s v="MUMB000736"/>
    <d v="2022-05-02T00:00:00"/>
    <n v="129141.9"/>
    <n v="23245.54"/>
    <x v="1"/>
    <s v="FEBUXOSTAT"/>
    <m/>
    <n v="17.999998451315957"/>
  </r>
  <r>
    <s v="261432808154"/>
    <s v="27AAEPS7171E1ZJ / HARSHADA CORPORATION"/>
    <s v="05AAECM6380J1ZA / M R HEALTHCARE PVT LTD"/>
    <s v="BHIWANDI / 421302"/>
    <s v="DIST NAINITAL / 244715"/>
    <s v="261432808154 - 23/05/2022 22:28:00"/>
    <s v="HC0201"/>
    <d v="2022-05-21T00:00:00"/>
    <n v="110500"/>
    <n v="19890"/>
    <x v="33"/>
    <s v="FUSIDIC ACID IP/EP"/>
    <s v="DL01LAC2874"/>
    <n v="18"/>
  </r>
  <r>
    <s v="251432312186"/>
    <s v="27AAFCS9959Q1Z4 / SNEHA MEDICARE PVT LTD"/>
    <s v="05AAECM6380J1ZA / M R HEALTHCARE PVT LTD"/>
    <s v="BHIWANDI / 421302"/>
    <s v="DIST NAINITAL / 244715"/>
    <s v="251432312186 - 22/05/2022 16:28:00"/>
    <s v="H01272"/>
    <d v="2022-05-20T00:00:00"/>
    <n v="216900"/>
    <n v="39042"/>
    <x v="38"/>
    <s v="DEXTROMETHORPHAN HBR IP"/>
    <s v="HR55X8087"/>
    <n v="18"/>
  </r>
  <r>
    <s v="211432017698"/>
    <s v="27AAEFG6529J1Z5 / GORANG INTERNATIONAL"/>
    <s v="05AAECM6380J1ZA / M. R. HEALTHCARE PVT. LTD"/>
    <s v="BHIWANDI / 421302"/>
    <s v="DIST. NAINIITAL / 244715"/>
    <s v="211432017698 - 20/05/2022 17:04:00"/>
    <s v="GI/0863"/>
    <d v="2022-05-19T00:00:00"/>
    <n v="1035000"/>
    <n v="186300"/>
    <x v="139"/>
    <s v="METRONIDAZOLE"/>
    <s v="UK18CA4364"/>
    <n v="18"/>
  </r>
  <r>
    <s v="271426794664"/>
    <s v="27AABCS4582P1ZP / SHUBHAM PHARMACHEM PVT LTD"/>
    <s v="05AAECM6380J1ZA / M/S M R HealthCare Pvt. Ltd."/>
    <s v="RAHNAL VILLAGE BHIWANDI  THANE / 421302"/>
    <s v="RAMNAGAR / 244715"/>
    <s v="271426794664 - 07/05/2022 19:23:00"/>
    <s v="SPPL/22-23/D0599"/>
    <d v="2022-05-05T00:00:00"/>
    <n v="38750"/>
    <n v="6975"/>
    <x v="82"/>
    <s v="USP"/>
    <s v="UK18CA5709"/>
    <n v="18"/>
  </r>
  <r>
    <s v="231433398796"/>
    <s v="27AAECA1503D1ZE / ABIL CHEMPHARMA PVT. LTD."/>
    <s v="05AAECM6380J1ZA / M.R.HEALTH CARE PVT.LTD.,"/>
    <s v="THANE / 421302"/>
    <s v="NAINITAL / 244715"/>
    <s v="231433398796 - 23/05/2022 18:03:00"/>
    <s v="M/2022-23/000448"/>
    <d v="2022-05-23T00:00:00"/>
    <n v="490000"/>
    <n v="88200"/>
    <x v="117"/>
    <s v="FEBANTEL"/>
    <s v="UK18CA4364"/>
    <n v="18"/>
  </r>
  <r>
    <s v="291432439586"/>
    <s v="27AAAFP8067G1Z2 / PIOMA CHEMICALS"/>
    <s v="05AAECM6380J1ZA / M R HEALTHCARE PVT LTD"/>
    <s v="THANE / 421302"/>
    <s v="NAINITAL / 244715"/>
    <s v="291432439586 - 21/05/2022 16:09:00"/>
    <n v="104283"/>
    <d v="2022-05-20T00:00:00"/>
    <n v="170000"/>
    <n v="30600"/>
    <x v="42"/>
    <m/>
    <s v="HR38T0499"/>
    <n v="18"/>
  </r>
  <r>
    <s v="231428918327"/>
    <s v="27AAEPM1479M1Z9 / MONARCH PHARMACHEM"/>
    <s v="05AAECM6380J1ZA / M R HEALTHCARE PVT LTD"/>
    <s v="BHIWANDI / 421302"/>
    <s v="UTTARAKHAND / 244715"/>
    <s v="231428918327 - 14/05/2022 15:07:00"/>
    <n v="394"/>
    <d v="2022-05-11T00:00:00"/>
    <n v="50050"/>
    <n v="9009"/>
    <x v="57"/>
    <s v="LOPERAMIDE HYDROCHLORIDE IP"/>
    <s v="DL01M8839"/>
    <n v="18"/>
  </r>
  <r>
    <s v="211426155285"/>
    <s v="27AAEFG6529J1Z5 / GORANG INTERNATIONAL"/>
    <s v="05AAECM6380J1ZA / M. R. HEALTHCARE PVT. LTD"/>
    <s v="BHIWANDI / 421302"/>
    <s v="DIST. NAINIITAL / 244715"/>
    <s v="211426155285 - 05/05/2022 19:59:00"/>
    <s v="GI/0668"/>
    <d v="2022-05-04T00:00:00"/>
    <n v="256000"/>
    <n v="46080"/>
    <x v="33"/>
    <s v="CEFOPERAZONE SODIUM STERILE"/>
    <s v="HR38T0499"/>
    <n v="18"/>
  </r>
  <r>
    <m/>
    <m/>
    <m/>
    <m/>
    <m/>
    <m/>
    <m/>
    <m/>
    <n v="245362488.57000005"/>
    <n v="1636806.26"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  <r>
    <m/>
    <m/>
    <m/>
    <m/>
    <m/>
    <m/>
    <m/>
    <m/>
    <m/>
    <m/>
    <x v="15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83221-7656-43F5-ACD9-8375B7B3223D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3">
        <item x="96"/>
        <item x="107"/>
        <item x="77"/>
        <item x="52"/>
        <item x="141"/>
        <item x="74"/>
        <item x="10"/>
        <item x="61"/>
        <item x="99"/>
        <item x="63"/>
        <item x="101"/>
        <item x="23"/>
        <item x="21"/>
        <item x="113"/>
        <item x="129"/>
        <item x="47"/>
        <item x="128"/>
        <item x="78"/>
        <item x="130"/>
        <item x="66"/>
        <item x="72"/>
        <item x="146"/>
        <item x="127"/>
        <item x="133"/>
        <item x="124"/>
        <item x="93"/>
        <item x="71"/>
        <item x="36"/>
        <item x="132"/>
        <item x="148"/>
        <item x="102"/>
        <item x="64"/>
        <item x="143"/>
        <item x="16"/>
        <item x="15"/>
        <item x="95"/>
        <item x="123"/>
        <item x="122"/>
        <item x="68"/>
        <item x="140"/>
        <item x="51"/>
        <item x="110"/>
        <item x="50"/>
        <item x="94"/>
        <item x="3"/>
        <item x="75"/>
        <item x="82"/>
        <item x="119"/>
        <item x="88"/>
        <item x="43"/>
        <item x="53"/>
        <item x="35"/>
        <item x="37"/>
        <item x="134"/>
        <item x="19"/>
        <item x="28"/>
        <item x="41"/>
        <item x="117"/>
        <item x="22"/>
        <item x="100"/>
        <item x="31"/>
        <item x="103"/>
        <item x="67"/>
        <item x="86"/>
        <item x="126"/>
        <item x="39"/>
        <item x="139"/>
        <item x="40"/>
        <item x="108"/>
        <item x="57"/>
        <item x="34"/>
        <item x="29"/>
        <item x="38"/>
        <item x="30"/>
        <item x="105"/>
        <item x="90"/>
        <item x="138"/>
        <item x="60"/>
        <item x="58"/>
        <item x="76"/>
        <item x="45"/>
        <item x="73"/>
        <item x="69"/>
        <item x="112"/>
        <item x="7"/>
        <item x="116"/>
        <item x="125"/>
        <item x="137"/>
        <item x="106"/>
        <item x="83"/>
        <item x="56"/>
        <item x="32"/>
        <item x="120"/>
        <item x="109"/>
        <item x="104"/>
        <item x="65"/>
        <item x="85"/>
        <item x="87"/>
        <item x="27"/>
        <item x="33"/>
        <item x="89"/>
        <item x="115"/>
        <item x="118"/>
        <item x="1"/>
        <item x="44"/>
        <item x="145"/>
        <item x="59"/>
        <item x="2"/>
        <item x="46"/>
        <item x="97"/>
        <item x="149"/>
        <item x="24"/>
        <item x="48"/>
        <item x="62"/>
        <item x="26"/>
        <item x="98"/>
        <item x="142"/>
        <item x="91"/>
        <item x="49"/>
        <item x="42"/>
        <item x="54"/>
        <item x="25"/>
        <item x="121"/>
        <item x="70"/>
        <item x="12"/>
        <item x="6"/>
        <item x="79"/>
        <item x="17"/>
        <item x="9"/>
        <item x="18"/>
        <item x="4"/>
        <item x="8"/>
        <item x="13"/>
        <item x="131"/>
        <item x="92"/>
        <item x="111"/>
        <item x="55"/>
        <item x="14"/>
        <item x="20"/>
        <item x="136"/>
        <item x="81"/>
        <item x="80"/>
        <item x="135"/>
        <item x="150"/>
        <item x="114"/>
        <item x="11"/>
        <item x="0"/>
        <item x="84"/>
        <item x="144"/>
        <item x="147"/>
        <item x="5"/>
        <item x="151"/>
        <item t="default"/>
      </items>
    </pivotField>
    <pivotField showAll="0"/>
    <pivotField showAll="0"/>
    <pivotField showAll="0"/>
  </pivotFields>
  <rowFields count="1">
    <field x="10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 t="grand">
      <x/>
    </i>
  </rowItems>
  <colItems count="1">
    <i/>
  </colItems>
  <dataFields count="1">
    <dataField name="Sum of Tax Val.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04AF-2F0C-476C-87CB-A12362DAA694}">
  <dimension ref="A3:B156"/>
  <sheetViews>
    <sheetView tabSelected="1" topLeftCell="A94" workbookViewId="0">
      <selection activeCell="A94" sqref="A1:A1048576"/>
    </sheetView>
  </sheetViews>
  <sheetFormatPr defaultRowHeight="13.2" x14ac:dyDescent="0.25"/>
  <cols>
    <col min="1" max="1" width="13.33203125" bestFit="1" customWidth="1"/>
    <col min="2" max="2" width="14.6640625" bestFit="1" customWidth="1"/>
  </cols>
  <sheetData>
    <row r="3" spans="1:2" x14ac:dyDescent="0.25">
      <c r="A3" s="10" t="s">
        <v>4112</v>
      </c>
      <c r="B3" t="s">
        <v>4115</v>
      </c>
    </row>
    <row r="4" spans="1:2" x14ac:dyDescent="0.25">
      <c r="A4" s="11">
        <v>2926</v>
      </c>
      <c r="B4" s="9">
        <v>33058.800000000003</v>
      </c>
    </row>
    <row r="5" spans="1:2" x14ac:dyDescent="0.25">
      <c r="A5" s="11">
        <v>2933</v>
      </c>
      <c r="B5" s="9">
        <v>75215.3</v>
      </c>
    </row>
    <row r="6" spans="1:2" x14ac:dyDescent="0.25">
      <c r="A6" s="11">
        <v>3004</v>
      </c>
      <c r="B6" s="9">
        <v>48416.639999999999</v>
      </c>
    </row>
    <row r="7" spans="1:2" x14ac:dyDescent="0.25">
      <c r="A7" s="11">
        <v>3208</v>
      </c>
      <c r="B7" s="9">
        <v>36242.639999999999</v>
      </c>
    </row>
    <row r="8" spans="1:2" x14ac:dyDescent="0.25">
      <c r="A8" s="11">
        <v>3912</v>
      </c>
      <c r="B8" s="9">
        <v>29700</v>
      </c>
    </row>
    <row r="9" spans="1:2" x14ac:dyDescent="0.25">
      <c r="A9" s="11">
        <v>3917</v>
      </c>
      <c r="B9" s="9">
        <v>57847.839999999997</v>
      </c>
    </row>
    <row r="10" spans="1:2" x14ac:dyDescent="0.25">
      <c r="A10" s="11">
        <v>3921</v>
      </c>
      <c r="B10" s="9">
        <v>300670.74999999994</v>
      </c>
    </row>
    <row r="11" spans="1:2" x14ac:dyDescent="0.25">
      <c r="A11" s="11">
        <v>3923</v>
      </c>
      <c r="B11" s="9">
        <v>14007.6</v>
      </c>
    </row>
    <row r="12" spans="1:2" x14ac:dyDescent="0.25">
      <c r="A12" s="11">
        <v>3924</v>
      </c>
      <c r="B12" s="9">
        <v>89951.18</v>
      </c>
    </row>
    <row r="13" spans="1:2" x14ac:dyDescent="0.25">
      <c r="A13" s="11">
        <v>4802</v>
      </c>
      <c r="B13" s="9">
        <v>22569.360000000001</v>
      </c>
    </row>
    <row r="14" spans="1:2" x14ac:dyDescent="0.25">
      <c r="A14" s="11">
        <v>4811</v>
      </c>
      <c r="B14" s="9">
        <v>30179.54</v>
      </c>
    </row>
    <row r="15" spans="1:2" x14ac:dyDescent="0.25">
      <c r="A15" s="11">
        <v>4819</v>
      </c>
      <c r="B15" s="9">
        <v>378512.04</v>
      </c>
    </row>
    <row r="16" spans="1:2" x14ac:dyDescent="0.25">
      <c r="A16" s="11">
        <v>4821</v>
      </c>
      <c r="B16" s="9">
        <v>237081.53999999998</v>
      </c>
    </row>
    <row r="17" spans="1:2" x14ac:dyDescent="0.25">
      <c r="A17" s="11">
        <v>7210</v>
      </c>
      <c r="B17" s="9">
        <v>14220.76</v>
      </c>
    </row>
    <row r="18" spans="1:2" x14ac:dyDescent="0.25">
      <c r="A18" s="11">
        <v>7411</v>
      </c>
      <c r="B18" s="9">
        <v>109784.82</v>
      </c>
    </row>
    <row r="19" spans="1:2" x14ac:dyDescent="0.25">
      <c r="A19" s="11">
        <v>7607</v>
      </c>
      <c r="B19" s="9">
        <v>292042.03999999998</v>
      </c>
    </row>
    <row r="20" spans="1:2" x14ac:dyDescent="0.25">
      <c r="A20" s="11">
        <v>8207</v>
      </c>
      <c r="B20" s="9">
        <v>33750</v>
      </c>
    </row>
    <row r="21" spans="1:2" x14ac:dyDescent="0.25">
      <c r="A21" s="11">
        <v>8303</v>
      </c>
      <c r="B21" s="9">
        <v>47169.9</v>
      </c>
    </row>
    <row r="22" spans="1:2" x14ac:dyDescent="0.25">
      <c r="A22" s="11">
        <v>8415</v>
      </c>
      <c r="B22" s="9">
        <v>30224.04</v>
      </c>
    </row>
    <row r="23" spans="1:2" x14ac:dyDescent="0.25">
      <c r="A23" s="11">
        <v>8422</v>
      </c>
      <c r="B23" s="9">
        <v>41400</v>
      </c>
    </row>
    <row r="24" spans="1:2" x14ac:dyDescent="0.25">
      <c r="A24" s="11">
        <v>8442</v>
      </c>
      <c r="B24" s="9">
        <v>24877.54</v>
      </c>
    </row>
    <row r="25" spans="1:2" x14ac:dyDescent="0.25">
      <c r="A25" s="11">
        <v>8516</v>
      </c>
      <c r="B25" s="9">
        <v>6579</v>
      </c>
    </row>
    <row r="26" spans="1:2" x14ac:dyDescent="0.25">
      <c r="A26" s="11">
        <v>8536</v>
      </c>
      <c r="B26" s="9">
        <v>19274</v>
      </c>
    </row>
    <row r="27" spans="1:2" x14ac:dyDescent="0.25">
      <c r="A27" s="11">
        <v>8539</v>
      </c>
      <c r="B27" s="9">
        <v>11253.96</v>
      </c>
    </row>
    <row r="28" spans="1:2" x14ac:dyDescent="0.25">
      <c r="A28" s="11">
        <v>8544</v>
      </c>
      <c r="B28" s="9">
        <v>126162.11</v>
      </c>
    </row>
    <row r="29" spans="1:2" x14ac:dyDescent="0.25">
      <c r="A29" s="11">
        <v>292212</v>
      </c>
      <c r="B29" s="9">
        <v>11345.68</v>
      </c>
    </row>
    <row r="30" spans="1:2" x14ac:dyDescent="0.25">
      <c r="A30" s="11">
        <v>292421</v>
      </c>
      <c r="B30" s="9">
        <v>237384</v>
      </c>
    </row>
    <row r="31" spans="1:2" x14ac:dyDescent="0.25">
      <c r="A31" s="11">
        <v>293339</v>
      </c>
      <c r="B31" s="9">
        <v>2655</v>
      </c>
    </row>
    <row r="32" spans="1:2" x14ac:dyDescent="0.25">
      <c r="A32" s="11">
        <v>293399</v>
      </c>
      <c r="B32" s="9">
        <v>10468.44</v>
      </c>
    </row>
    <row r="33" spans="1:2" x14ac:dyDescent="0.25">
      <c r="A33" s="11">
        <v>481910</v>
      </c>
      <c r="B33" s="9">
        <v>0</v>
      </c>
    </row>
    <row r="34" spans="1:2" x14ac:dyDescent="0.25">
      <c r="A34" s="11">
        <v>481920</v>
      </c>
      <c r="B34" s="9">
        <v>16038.09</v>
      </c>
    </row>
    <row r="35" spans="1:2" x14ac:dyDescent="0.25">
      <c r="A35" s="11">
        <v>760719</v>
      </c>
      <c r="B35" s="9">
        <v>41866.879999999997</v>
      </c>
    </row>
    <row r="36" spans="1:2" x14ac:dyDescent="0.25">
      <c r="A36" s="11">
        <v>841989</v>
      </c>
      <c r="B36" s="9">
        <v>226125</v>
      </c>
    </row>
    <row r="37" spans="1:2" x14ac:dyDescent="0.25">
      <c r="A37" s="11">
        <v>11081200</v>
      </c>
      <c r="B37" s="9">
        <v>186711</v>
      </c>
    </row>
    <row r="38" spans="1:2" x14ac:dyDescent="0.25">
      <c r="A38" s="11">
        <v>17011490</v>
      </c>
      <c r="B38" s="9">
        <v>42625</v>
      </c>
    </row>
    <row r="39" spans="1:2" x14ac:dyDescent="0.25">
      <c r="A39" s="11">
        <v>17021110</v>
      </c>
      <c r="B39" s="9">
        <v>44550</v>
      </c>
    </row>
    <row r="40" spans="1:2" x14ac:dyDescent="0.25">
      <c r="A40" s="11">
        <v>17049010</v>
      </c>
      <c r="B40" s="9">
        <v>23214.29</v>
      </c>
    </row>
    <row r="41" spans="1:2" x14ac:dyDescent="0.25">
      <c r="A41" s="11">
        <v>25262000</v>
      </c>
      <c r="B41" s="9">
        <v>1050</v>
      </c>
    </row>
    <row r="42" spans="1:2" x14ac:dyDescent="0.25">
      <c r="A42" s="11">
        <v>28112200</v>
      </c>
      <c r="B42" s="9">
        <v>251859.6</v>
      </c>
    </row>
    <row r="43" spans="1:2" x14ac:dyDescent="0.25">
      <c r="A43" s="11">
        <v>28183000</v>
      </c>
      <c r="B43" s="9">
        <v>8640</v>
      </c>
    </row>
    <row r="44" spans="1:2" x14ac:dyDescent="0.25">
      <c r="A44" s="11">
        <v>28365000</v>
      </c>
      <c r="B44" s="9">
        <v>56520</v>
      </c>
    </row>
    <row r="45" spans="1:2" x14ac:dyDescent="0.25">
      <c r="A45" s="11">
        <v>29031200</v>
      </c>
      <c r="B45" s="9">
        <v>10125</v>
      </c>
    </row>
    <row r="46" spans="1:2" x14ac:dyDescent="0.25">
      <c r="A46" s="11">
        <v>29051220</v>
      </c>
      <c r="B46" s="9">
        <v>106560</v>
      </c>
    </row>
    <row r="47" spans="1:2" x14ac:dyDescent="0.25">
      <c r="A47" s="11">
        <v>29053200</v>
      </c>
      <c r="B47" s="9">
        <v>106085.7</v>
      </c>
    </row>
    <row r="48" spans="1:2" x14ac:dyDescent="0.25">
      <c r="A48" s="11">
        <v>29054300</v>
      </c>
      <c r="B48" s="9">
        <v>66735</v>
      </c>
    </row>
    <row r="49" spans="1:2" x14ac:dyDescent="0.25">
      <c r="A49" s="11">
        <v>29054400</v>
      </c>
      <c r="B49" s="9">
        <v>16515</v>
      </c>
    </row>
    <row r="50" spans="1:2" x14ac:dyDescent="0.25">
      <c r="A50" s="11">
        <v>29072200</v>
      </c>
      <c r="B50" s="9">
        <v>29250</v>
      </c>
    </row>
    <row r="51" spans="1:2" x14ac:dyDescent="0.25">
      <c r="A51" s="11">
        <v>29095090</v>
      </c>
      <c r="B51" s="9">
        <v>6120</v>
      </c>
    </row>
    <row r="52" spans="1:2" x14ac:dyDescent="0.25">
      <c r="A52" s="11">
        <v>29157090</v>
      </c>
      <c r="B52" s="9">
        <v>42930</v>
      </c>
    </row>
    <row r="53" spans="1:2" x14ac:dyDescent="0.25">
      <c r="A53" s="11">
        <v>29181990</v>
      </c>
      <c r="B53" s="9">
        <v>12131.25</v>
      </c>
    </row>
    <row r="54" spans="1:2" x14ac:dyDescent="0.25">
      <c r="A54" s="11">
        <v>29182310</v>
      </c>
      <c r="B54" s="9">
        <v>10584</v>
      </c>
    </row>
    <row r="55" spans="1:2" x14ac:dyDescent="0.25">
      <c r="A55" s="11">
        <v>29189990</v>
      </c>
      <c r="B55" s="9">
        <v>55828</v>
      </c>
    </row>
    <row r="56" spans="1:2" x14ac:dyDescent="0.25">
      <c r="A56" s="11">
        <v>29211990</v>
      </c>
      <c r="B56" s="9">
        <v>5728</v>
      </c>
    </row>
    <row r="57" spans="1:2" x14ac:dyDescent="0.25">
      <c r="A57" s="11">
        <v>29214990</v>
      </c>
      <c r="B57" s="9">
        <v>16943.72</v>
      </c>
    </row>
    <row r="58" spans="1:2" x14ac:dyDescent="0.25">
      <c r="A58" s="11">
        <v>29222933</v>
      </c>
      <c r="B58" s="9">
        <v>4719450.3999999994</v>
      </c>
    </row>
    <row r="59" spans="1:2" x14ac:dyDescent="0.25">
      <c r="A59" s="11">
        <v>29224990</v>
      </c>
      <c r="B59" s="9">
        <v>424778.13</v>
      </c>
    </row>
    <row r="60" spans="1:2" x14ac:dyDescent="0.25">
      <c r="A60" s="11">
        <v>29225090</v>
      </c>
      <c r="B60" s="9">
        <v>289602</v>
      </c>
    </row>
    <row r="61" spans="1:2" x14ac:dyDescent="0.25">
      <c r="A61" s="11">
        <v>29242190</v>
      </c>
      <c r="B61" s="9">
        <v>438840</v>
      </c>
    </row>
    <row r="62" spans="1:2" x14ac:dyDescent="0.25">
      <c r="A62" s="11">
        <v>29242990</v>
      </c>
      <c r="B62" s="9">
        <v>56875.5</v>
      </c>
    </row>
    <row r="63" spans="1:2" x14ac:dyDescent="0.25">
      <c r="A63" s="11">
        <v>29252990</v>
      </c>
      <c r="B63" s="9">
        <v>99204.160000000003</v>
      </c>
    </row>
    <row r="64" spans="1:2" x14ac:dyDescent="0.25">
      <c r="A64" s="11">
        <v>29309070</v>
      </c>
      <c r="B64" s="9">
        <v>7158.56</v>
      </c>
    </row>
    <row r="65" spans="1:2" x14ac:dyDescent="0.25">
      <c r="A65" s="11">
        <v>29319090</v>
      </c>
      <c r="B65" s="9">
        <v>102622.5</v>
      </c>
    </row>
    <row r="66" spans="1:2" x14ac:dyDescent="0.25">
      <c r="A66" s="11">
        <v>29321990</v>
      </c>
      <c r="B66" s="9">
        <v>100852.2</v>
      </c>
    </row>
    <row r="67" spans="1:2" x14ac:dyDescent="0.25">
      <c r="A67" s="11">
        <v>29331990</v>
      </c>
      <c r="B67" s="9">
        <v>85715.839999999997</v>
      </c>
    </row>
    <row r="68" spans="1:2" x14ac:dyDescent="0.25">
      <c r="A68" s="11">
        <v>29331999</v>
      </c>
      <c r="B68" s="9">
        <v>14340.42</v>
      </c>
    </row>
    <row r="69" spans="1:2" x14ac:dyDescent="0.25">
      <c r="A69" s="11">
        <v>29332910</v>
      </c>
      <c r="B69" s="9">
        <v>537300</v>
      </c>
    </row>
    <row r="70" spans="1:2" x14ac:dyDescent="0.25">
      <c r="A70" s="11">
        <v>29332920</v>
      </c>
      <c r="B70" s="9">
        <v>196069.88</v>
      </c>
    </row>
    <row r="71" spans="1:2" x14ac:dyDescent="0.25">
      <c r="A71" s="11">
        <v>29332990</v>
      </c>
      <c r="B71" s="9">
        <v>268098.52999999997</v>
      </c>
    </row>
    <row r="72" spans="1:2" x14ac:dyDescent="0.25">
      <c r="A72" s="11">
        <v>29333919</v>
      </c>
      <c r="B72" s="9">
        <v>38566.800000000003</v>
      </c>
    </row>
    <row r="73" spans="1:2" x14ac:dyDescent="0.25">
      <c r="A73" s="11">
        <v>29333990</v>
      </c>
      <c r="B73" s="9">
        <v>656855.92000000004</v>
      </c>
    </row>
    <row r="74" spans="1:2" x14ac:dyDescent="0.25">
      <c r="A74" s="11">
        <v>29334900</v>
      </c>
      <c r="B74" s="9">
        <v>171831.06</v>
      </c>
    </row>
    <row r="75" spans="1:2" x14ac:dyDescent="0.25">
      <c r="A75" s="11">
        <v>29335990</v>
      </c>
      <c r="B75" s="9">
        <v>760047.94</v>
      </c>
    </row>
    <row r="76" spans="1:2" x14ac:dyDescent="0.25">
      <c r="A76" s="11">
        <v>29339900</v>
      </c>
      <c r="B76" s="9">
        <v>173457.81</v>
      </c>
    </row>
    <row r="77" spans="1:2" x14ac:dyDescent="0.25">
      <c r="A77" s="11">
        <v>29339990</v>
      </c>
      <c r="B77" s="9">
        <v>238018.1</v>
      </c>
    </row>
    <row r="78" spans="1:2" x14ac:dyDescent="0.25">
      <c r="A78" s="11">
        <v>29349900</v>
      </c>
      <c r="B78" s="9">
        <v>149760</v>
      </c>
    </row>
    <row r="79" spans="1:2" x14ac:dyDescent="0.25">
      <c r="A79" s="11">
        <v>29349990</v>
      </c>
      <c r="B79" s="9">
        <v>32740.92</v>
      </c>
    </row>
    <row r="80" spans="1:2" x14ac:dyDescent="0.25">
      <c r="A80" s="11">
        <v>29359090</v>
      </c>
      <c r="B80" s="9">
        <v>26730</v>
      </c>
    </row>
    <row r="81" spans="1:2" x14ac:dyDescent="0.25">
      <c r="A81" s="11">
        <v>29362210</v>
      </c>
      <c r="B81" s="9">
        <v>9682.92</v>
      </c>
    </row>
    <row r="82" spans="1:2" x14ac:dyDescent="0.25">
      <c r="A82" s="11">
        <v>29362690</v>
      </c>
      <c r="B82" s="9">
        <v>8586</v>
      </c>
    </row>
    <row r="83" spans="1:2" x14ac:dyDescent="0.25">
      <c r="A83" s="11">
        <v>29362700</v>
      </c>
      <c r="B83" s="9">
        <v>34740</v>
      </c>
    </row>
    <row r="84" spans="1:2" x14ac:dyDescent="0.25">
      <c r="A84" s="11">
        <v>29362800</v>
      </c>
      <c r="B84" s="9">
        <v>6663.42</v>
      </c>
    </row>
    <row r="85" spans="1:2" x14ac:dyDescent="0.25">
      <c r="A85" s="11">
        <v>29362940</v>
      </c>
      <c r="B85" s="9">
        <v>36370.26</v>
      </c>
    </row>
    <row r="86" spans="1:2" x14ac:dyDescent="0.25">
      <c r="A86" s="11">
        <v>29372100</v>
      </c>
      <c r="B86" s="9">
        <v>14580</v>
      </c>
    </row>
    <row r="87" spans="1:2" x14ac:dyDescent="0.25">
      <c r="A87" s="11">
        <v>29372200</v>
      </c>
      <c r="B87" s="9">
        <v>14812.2</v>
      </c>
    </row>
    <row r="88" spans="1:2" x14ac:dyDescent="0.25">
      <c r="A88" s="11">
        <v>29372900</v>
      </c>
      <c r="B88" s="9">
        <v>144496.98000000001</v>
      </c>
    </row>
    <row r="89" spans="1:2" x14ac:dyDescent="0.25">
      <c r="A89" s="11">
        <v>29379090</v>
      </c>
      <c r="B89" s="9">
        <v>43279.56</v>
      </c>
    </row>
    <row r="90" spans="1:2" x14ac:dyDescent="0.25">
      <c r="A90" s="11">
        <v>29389090</v>
      </c>
      <c r="B90" s="9">
        <v>25968.98</v>
      </c>
    </row>
    <row r="91" spans="1:2" x14ac:dyDescent="0.25">
      <c r="A91" s="11">
        <v>29391900</v>
      </c>
      <c r="B91" s="9">
        <v>162095.57999999999</v>
      </c>
    </row>
    <row r="92" spans="1:2" x14ac:dyDescent="0.25">
      <c r="A92" s="11">
        <v>29393000</v>
      </c>
      <c r="B92" s="9">
        <v>76689.36</v>
      </c>
    </row>
    <row r="93" spans="1:2" x14ac:dyDescent="0.25">
      <c r="A93" s="11">
        <v>29395900</v>
      </c>
      <c r="B93" s="9">
        <v>39553.51</v>
      </c>
    </row>
    <row r="94" spans="1:2" x14ac:dyDescent="0.25">
      <c r="A94" s="11">
        <v>29411020</v>
      </c>
      <c r="B94" s="9">
        <v>141750</v>
      </c>
    </row>
    <row r="95" spans="1:2" x14ac:dyDescent="0.25">
      <c r="A95" s="11">
        <v>29411030</v>
      </c>
      <c r="B95" s="9">
        <v>2834858.7199999997</v>
      </c>
    </row>
    <row r="96" spans="1:2" x14ac:dyDescent="0.25">
      <c r="A96" s="11">
        <v>29411040</v>
      </c>
      <c r="B96" s="9">
        <v>52020</v>
      </c>
    </row>
    <row r="97" spans="1:2" x14ac:dyDescent="0.25">
      <c r="A97" s="11">
        <v>29413010</v>
      </c>
      <c r="B97" s="9">
        <v>87054.84</v>
      </c>
    </row>
    <row r="98" spans="1:2" x14ac:dyDescent="0.25">
      <c r="A98" s="11">
        <v>29415000</v>
      </c>
      <c r="B98" s="9">
        <v>444524.76</v>
      </c>
    </row>
    <row r="99" spans="1:2" x14ac:dyDescent="0.25">
      <c r="A99" s="11">
        <v>29419019</v>
      </c>
      <c r="B99" s="9">
        <v>564863.71</v>
      </c>
    </row>
    <row r="100" spans="1:2" x14ac:dyDescent="0.25">
      <c r="A100" s="11">
        <v>29419020</v>
      </c>
      <c r="B100" s="9">
        <v>297675</v>
      </c>
    </row>
    <row r="101" spans="1:2" x14ac:dyDescent="0.25">
      <c r="A101" s="11">
        <v>29419030</v>
      </c>
      <c r="B101" s="9">
        <v>20306.25</v>
      </c>
    </row>
    <row r="102" spans="1:2" x14ac:dyDescent="0.25">
      <c r="A102" s="11">
        <v>29419060</v>
      </c>
      <c r="B102" s="9">
        <v>1379693.7</v>
      </c>
    </row>
    <row r="103" spans="1:2" x14ac:dyDescent="0.25">
      <c r="A103" s="11">
        <v>29419090</v>
      </c>
      <c r="B103" s="9">
        <v>7509776.4100000001</v>
      </c>
    </row>
    <row r="104" spans="1:2" x14ac:dyDescent="0.25">
      <c r="A104" s="11">
        <v>29420012</v>
      </c>
      <c r="B104" s="9">
        <v>371401.31</v>
      </c>
    </row>
    <row r="105" spans="1:2" x14ac:dyDescent="0.25">
      <c r="A105" s="11">
        <v>29420014</v>
      </c>
      <c r="B105" s="9">
        <v>32940</v>
      </c>
    </row>
    <row r="106" spans="1:2" x14ac:dyDescent="0.25">
      <c r="A106" s="11">
        <v>29420027</v>
      </c>
      <c r="B106" s="9">
        <v>36225</v>
      </c>
    </row>
    <row r="107" spans="1:2" x14ac:dyDescent="0.25">
      <c r="A107" s="11">
        <v>29420090</v>
      </c>
      <c r="B107" s="9">
        <v>4724811.4799999995</v>
      </c>
    </row>
    <row r="108" spans="1:2" x14ac:dyDescent="0.25">
      <c r="A108" s="11">
        <v>30024910</v>
      </c>
      <c r="B108" s="9">
        <v>48000</v>
      </c>
    </row>
    <row r="109" spans="1:2" x14ac:dyDescent="0.25">
      <c r="A109" s="11">
        <v>30039021</v>
      </c>
      <c r="B109" s="9">
        <v>16199.4</v>
      </c>
    </row>
    <row r="110" spans="1:2" x14ac:dyDescent="0.25">
      <c r="A110" s="11">
        <v>30042039</v>
      </c>
      <c r="B110" s="9">
        <v>13859.64</v>
      </c>
    </row>
    <row r="111" spans="1:2" x14ac:dyDescent="0.25">
      <c r="A111" s="11">
        <v>30049099</v>
      </c>
      <c r="B111" s="9">
        <v>29018.57</v>
      </c>
    </row>
    <row r="112" spans="1:2" x14ac:dyDescent="0.25">
      <c r="A112" s="11">
        <v>32050000</v>
      </c>
      <c r="B112" s="9">
        <v>208218.96000000002</v>
      </c>
    </row>
    <row r="113" spans="1:2" x14ac:dyDescent="0.25">
      <c r="A113" s="11">
        <v>33021010</v>
      </c>
      <c r="B113" s="9">
        <v>8262</v>
      </c>
    </row>
    <row r="114" spans="1:2" x14ac:dyDescent="0.25">
      <c r="A114" s="11">
        <v>34024200</v>
      </c>
      <c r="B114" s="9">
        <v>35640</v>
      </c>
    </row>
    <row r="115" spans="1:2" x14ac:dyDescent="0.25">
      <c r="A115" s="11">
        <v>34049020</v>
      </c>
      <c r="B115" s="9">
        <v>729</v>
      </c>
    </row>
    <row r="116" spans="1:2" x14ac:dyDescent="0.25">
      <c r="A116" s="11">
        <v>35051010</v>
      </c>
      <c r="B116" s="9">
        <v>34020</v>
      </c>
    </row>
    <row r="117" spans="1:2" x14ac:dyDescent="0.25">
      <c r="A117" s="11">
        <v>38220090</v>
      </c>
      <c r="B117" s="9">
        <v>8150.72</v>
      </c>
    </row>
    <row r="118" spans="1:2" x14ac:dyDescent="0.25">
      <c r="A118" s="11">
        <v>39059990</v>
      </c>
      <c r="B118" s="9">
        <v>499080.06</v>
      </c>
    </row>
    <row r="119" spans="1:2" x14ac:dyDescent="0.25">
      <c r="A119" s="11">
        <v>39061090</v>
      </c>
      <c r="B119" s="9">
        <v>6772.5</v>
      </c>
    </row>
    <row r="120" spans="1:2" x14ac:dyDescent="0.25">
      <c r="A120" s="11">
        <v>39100090</v>
      </c>
      <c r="B120" s="9">
        <v>5040</v>
      </c>
    </row>
    <row r="121" spans="1:2" x14ac:dyDescent="0.25">
      <c r="A121" s="11">
        <v>39123100</v>
      </c>
      <c r="B121" s="9">
        <v>108997.02</v>
      </c>
    </row>
    <row r="122" spans="1:2" x14ac:dyDescent="0.25">
      <c r="A122" s="11">
        <v>39123919</v>
      </c>
      <c r="B122" s="9">
        <v>100611</v>
      </c>
    </row>
    <row r="123" spans="1:2" x14ac:dyDescent="0.25">
      <c r="A123" s="11">
        <v>39123922</v>
      </c>
      <c r="B123" s="9">
        <v>144135</v>
      </c>
    </row>
    <row r="124" spans="1:2" x14ac:dyDescent="0.25">
      <c r="A124" s="11">
        <v>39123929</v>
      </c>
      <c r="B124" s="9">
        <v>20700</v>
      </c>
    </row>
    <row r="125" spans="1:2" x14ac:dyDescent="0.25">
      <c r="A125" s="11">
        <v>39129090</v>
      </c>
      <c r="B125" s="9">
        <v>310914</v>
      </c>
    </row>
    <row r="126" spans="1:2" x14ac:dyDescent="0.25">
      <c r="A126" s="11">
        <v>39139019</v>
      </c>
      <c r="B126" s="9">
        <v>17316</v>
      </c>
    </row>
    <row r="127" spans="1:2" x14ac:dyDescent="0.25">
      <c r="A127" s="11">
        <v>39140020</v>
      </c>
      <c r="B127" s="9">
        <v>22950</v>
      </c>
    </row>
    <row r="128" spans="1:2" x14ac:dyDescent="0.25">
      <c r="A128" s="11">
        <v>39204900</v>
      </c>
      <c r="B128" s="9">
        <v>86019.23000000001</v>
      </c>
    </row>
    <row r="129" spans="1:2" x14ac:dyDescent="0.25">
      <c r="A129" s="11">
        <v>39219023</v>
      </c>
      <c r="B129" s="9">
        <v>306959.2</v>
      </c>
    </row>
    <row r="130" spans="1:2" x14ac:dyDescent="0.25">
      <c r="A130" s="11">
        <v>39232100</v>
      </c>
      <c r="B130" s="9">
        <v>72913.039999999994</v>
      </c>
    </row>
    <row r="131" spans="1:2" x14ac:dyDescent="0.25">
      <c r="A131" s="11">
        <v>39233090</v>
      </c>
      <c r="B131" s="9">
        <v>267263.2</v>
      </c>
    </row>
    <row r="132" spans="1:2" x14ac:dyDescent="0.25">
      <c r="A132" s="11">
        <v>39239090</v>
      </c>
      <c r="B132" s="9">
        <v>134150.35999999999</v>
      </c>
    </row>
    <row r="133" spans="1:2" x14ac:dyDescent="0.25">
      <c r="A133" s="11">
        <v>48191010</v>
      </c>
      <c r="B133" s="9">
        <v>179486.87999999998</v>
      </c>
    </row>
    <row r="134" spans="1:2" x14ac:dyDescent="0.25">
      <c r="A134" s="11">
        <v>48192020</v>
      </c>
      <c r="B134" s="9">
        <v>498749.66</v>
      </c>
    </row>
    <row r="135" spans="1:2" x14ac:dyDescent="0.25">
      <c r="A135" s="11">
        <v>48192090</v>
      </c>
      <c r="B135" s="9">
        <v>1545599.1600000004</v>
      </c>
    </row>
    <row r="136" spans="1:2" x14ac:dyDescent="0.25">
      <c r="A136" s="11">
        <v>48211020</v>
      </c>
      <c r="B136" s="9">
        <v>19730.7</v>
      </c>
    </row>
    <row r="137" spans="1:2" x14ac:dyDescent="0.25">
      <c r="A137" s="11">
        <v>49011020</v>
      </c>
      <c r="B137" s="9">
        <v>3255.4</v>
      </c>
    </row>
    <row r="138" spans="1:2" x14ac:dyDescent="0.25">
      <c r="A138" s="11">
        <v>63014000</v>
      </c>
      <c r="B138" s="9">
        <v>26607.5</v>
      </c>
    </row>
    <row r="139" spans="1:2" x14ac:dyDescent="0.25">
      <c r="A139" s="11">
        <v>72107000</v>
      </c>
      <c r="B139" s="9">
        <v>221266.96000000002</v>
      </c>
    </row>
    <row r="140" spans="1:2" x14ac:dyDescent="0.25">
      <c r="A140" s="11">
        <v>72163200</v>
      </c>
      <c r="B140" s="9">
        <v>61841.4</v>
      </c>
    </row>
    <row r="141" spans="1:2" x14ac:dyDescent="0.25">
      <c r="A141" s="11">
        <v>76071994</v>
      </c>
      <c r="B141" s="9">
        <v>1855880.72</v>
      </c>
    </row>
    <row r="142" spans="1:2" x14ac:dyDescent="0.25">
      <c r="A142" s="11">
        <v>76071995</v>
      </c>
      <c r="B142" s="9">
        <v>613881.52999999991</v>
      </c>
    </row>
    <row r="143" spans="1:2" x14ac:dyDescent="0.25">
      <c r="A143" s="11">
        <v>76071999</v>
      </c>
      <c r="B143" s="9">
        <v>65921.67</v>
      </c>
    </row>
    <row r="144" spans="1:2" x14ac:dyDescent="0.25">
      <c r="A144" s="11">
        <v>76072090</v>
      </c>
      <c r="B144" s="9">
        <v>70751.64</v>
      </c>
    </row>
    <row r="145" spans="1:2" x14ac:dyDescent="0.25">
      <c r="A145" s="11">
        <v>83099010</v>
      </c>
      <c r="B145" s="9">
        <v>22672.799999999999</v>
      </c>
    </row>
    <row r="146" spans="1:2" x14ac:dyDescent="0.25">
      <c r="A146" s="11">
        <v>84143000</v>
      </c>
      <c r="B146" s="9">
        <v>46836</v>
      </c>
    </row>
    <row r="147" spans="1:2" x14ac:dyDescent="0.25">
      <c r="A147" s="11">
        <v>84198940</v>
      </c>
      <c r="B147" s="9">
        <v>8236.98</v>
      </c>
    </row>
    <row r="148" spans="1:2" x14ac:dyDescent="0.25">
      <c r="A148" s="11">
        <v>84229090</v>
      </c>
      <c r="B148" s="9">
        <v>486</v>
      </c>
    </row>
    <row r="149" spans="1:2" x14ac:dyDescent="0.25">
      <c r="A149" s="11">
        <v>84425010</v>
      </c>
      <c r="B149" s="9">
        <v>25614</v>
      </c>
    </row>
    <row r="150" spans="1:2" x14ac:dyDescent="0.25">
      <c r="A150" s="11">
        <v>84439960</v>
      </c>
      <c r="B150" s="9">
        <v>25200</v>
      </c>
    </row>
    <row r="151" spans="1:2" x14ac:dyDescent="0.25">
      <c r="A151" s="11">
        <v>84749000</v>
      </c>
      <c r="B151" s="9">
        <v>29754</v>
      </c>
    </row>
    <row r="152" spans="1:2" x14ac:dyDescent="0.25">
      <c r="A152" s="11">
        <v>84799040</v>
      </c>
      <c r="B152" s="9">
        <v>31221</v>
      </c>
    </row>
    <row r="153" spans="1:2" x14ac:dyDescent="0.25">
      <c r="A153" s="11">
        <v>90279090</v>
      </c>
      <c r="B153" s="9">
        <v>12906</v>
      </c>
    </row>
    <row r="154" spans="1:2" x14ac:dyDescent="0.25">
      <c r="A154" s="11">
        <v>96020030</v>
      </c>
      <c r="B154" s="9">
        <v>947701.8</v>
      </c>
    </row>
    <row r="155" spans="1:2" x14ac:dyDescent="0.25">
      <c r="A155" s="11" t="s">
        <v>4113</v>
      </c>
      <c r="B155" s="9">
        <v>1636806.26</v>
      </c>
    </row>
    <row r="156" spans="1:2" x14ac:dyDescent="0.25">
      <c r="A156" s="11" t="s">
        <v>4114</v>
      </c>
      <c r="B156" s="9">
        <v>42917443.629999995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A5B2-D99F-43ED-85FE-A6DB38E5BAA4}">
  <dimension ref="A1:N1105"/>
  <sheetViews>
    <sheetView topLeftCell="A1091" workbookViewId="0">
      <selection activeCell="A1091" sqref="A1:XFD1048576"/>
    </sheetView>
  </sheetViews>
  <sheetFormatPr defaultColWidth="15" defaultRowHeight="13.2" x14ac:dyDescent="0.25"/>
  <cols>
    <col min="1" max="7" width="15" style="5"/>
    <col min="8" max="8" width="12.33203125" style="5" customWidth="1"/>
    <col min="9" max="9" width="15.44140625" style="5" bestFit="1" customWidth="1"/>
    <col min="10" max="10" width="12.6640625" style="5" customWidth="1"/>
    <col min="11" max="11" width="11.88671875" style="5" customWidth="1"/>
    <col min="12" max="13" width="15" style="5"/>
    <col min="14" max="14" width="13" style="5" customWidth="1"/>
    <col min="15" max="16384" width="15" style="5"/>
  </cols>
  <sheetData>
    <row r="1" spans="1:14" s="2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3264</v>
      </c>
      <c r="H1" s="1" t="s">
        <v>3265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3263</v>
      </c>
    </row>
    <row r="2" spans="1:14" ht="14.4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3266</v>
      </c>
      <c r="H2" s="7">
        <v>44989</v>
      </c>
      <c r="I2" s="6">
        <v>70000</v>
      </c>
      <c r="J2" s="6">
        <v>12600</v>
      </c>
      <c r="K2" s="4">
        <v>84439960</v>
      </c>
      <c r="L2" s="3"/>
      <c r="M2" s="3" t="s">
        <v>17</v>
      </c>
      <c r="N2" s="5">
        <f>J2*100/I2</f>
        <v>18</v>
      </c>
    </row>
    <row r="3" spans="1:14" ht="14.4" x14ac:dyDescent="0.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3267</v>
      </c>
      <c r="H3" s="7">
        <v>44946</v>
      </c>
      <c r="I3" s="6">
        <v>70000</v>
      </c>
      <c r="J3" s="6">
        <v>12600</v>
      </c>
      <c r="K3" s="4">
        <v>84439960</v>
      </c>
      <c r="L3" s="3"/>
      <c r="M3" s="3" t="s">
        <v>17</v>
      </c>
      <c r="N3" s="5">
        <f t="shared" ref="N3:N66" si="0">J3*100/I3</f>
        <v>18</v>
      </c>
    </row>
    <row r="4" spans="1:14" ht="14.4" x14ac:dyDescent="0.3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3268</v>
      </c>
      <c r="H4" s="7">
        <v>44988</v>
      </c>
      <c r="I4" s="6">
        <v>252247.5</v>
      </c>
      <c r="J4" s="6">
        <v>45404</v>
      </c>
      <c r="K4" s="4">
        <v>29420090</v>
      </c>
      <c r="L4" s="3" t="s">
        <v>31</v>
      </c>
      <c r="M4" s="3" t="s">
        <v>32</v>
      </c>
      <c r="N4" s="5">
        <f t="shared" si="0"/>
        <v>17.999781960177998</v>
      </c>
    </row>
    <row r="5" spans="1:14" ht="14.4" x14ac:dyDescent="0.3">
      <c r="A5" s="3" t="s">
        <v>33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34</v>
      </c>
      <c r="G5" s="3" t="s">
        <v>3269</v>
      </c>
      <c r="H5" s="7">
        <v>45015</v>
      </c>
      <c r="I5" s="6">
        <v>191248.75</v>
      </c>
      <c r="J5" s="6">
        <v>34424</v>
      </c>
      <c r="K5" s="4">
        <v>29420090</v>
      </c>
      <c r="L5" s="3" t="s">
        <v>35</v>
      </c>
      <c r="M5" s="3" t="s">
        <v>36</v>
      </c>
      <c r="N5" s="5">
        <f t="shared" si="0"/>
        <v>17.999594768593258</v>
      </c>
    </row>
    <row r="6" spans="1:14" ht="14.4" x14ac:dyDescent="0.3">
      <c r="A6" s="3" t="s">
        <v>37</v>
      </c>
      <c r="B6" s="3" t="s">
        <v>38</v>
      </c>
      <c r="C6" s="3" t="s">
        <v>20</v>
      </c>
      <c r="D6" s="3" t="s">
        <v>39</v>
      </c>
      <c r="E6" s="3" t="s">
        <v>22</v>
      </c>
      <c r="F6" s="3" t="s">
        <v>40</v>
      </c>
      <c r="G6" s="3" t="s">
        <v>3270</v>
      </c>
      <c r="H6" s="7">
        <v>45008</v>
      </c>
      <c r="I6" s="6">
        <v>27600</v>
      </c>
      <c r="J6" s="6">
        <v>3312</v>
      </c>
      <c r="K6" s="4">
        <v>30049099</v>
      </c>
      <c r="L6" s="3" t="s">
        <v>41</v>
      </c>
      <c r="M6" s="3" t="s">
        <v>36</v>
      </c>
      <c r="N6" s="5">
        <f t="shared" si="0"/>
        <v>12</v>
      </c>
    </row>
    <row r="7" spans="1:14" ht="14.4" x14ac:dyDescent="0.3">
      <c r="A7" s="3" t="s">
        <v>42</v>
      </c>
      <c r="B7" s="3" t="s">
        <v>43</v>
      </c>
      <c r="C7" s="3" t="s">
        <v>26</v>
      </c>
      <c r="D7" s="3" t="s">
        <v>44</v>
      </c>
      <c r="E7" s="3" t="s">
        <v>45</v>
      </c>
      <c r="F7" s="3" t="s">
        <v>46</v>
      </c>
      <c r="G7" s="3" t="s">
        <v>3271</v>
      </c>
      <c r="H7" s="7">
        <v>45008</v>
      </c>
      <c r="I7" s="6">
        <v>47500</v>
      </c>
      <c r="J7" s="6">
        <v>8550</v>
      </c>
      <c r="K7" s="4">
        <v>29054300</v>
      </c>
      <c r="L7" s="3" t="s">
        <v>47</v>
      </c>
      <c r="M7" s="3" t="s">
        <v>36</v>
      </c>
      <c r="N7" s="5">
        <f t="shared" si="0"/>
        <v>18</v>
      </c>
    </row>
    <row r="8" spans="1:14" ht="14.4" x14ac:dyDescent="0.3">
      <c r="A8" s="3" t="s">
        <v>48</v>
      </c>
      <c r="B8" s="3" t="s">
        <v>49</v>
      </c>
      <c r="C8" s="3" t="s">
        <v>20</v>
      </c>
      <c r="D8" s="3" t="s">
        <v>50</v>
      </c>
      <c r="E8" s="3" t="s">
        <v>22</v>
      </c>
      <c r="F8" s="3" t="s">
        <v>51</v>
      </c>
      <c r="G8" s="3" t="s">
        <v>3272</v>
      </c>
      <c r="H8" s="7">
        <v>45007</v>
      </c>
      <c r="I8" s="6">
        <v>63179</v>
      </c>
      <c r="J8" s="6">
        <v>11372.22</v>
      </c>
      <c r="K8" s="4">
        <v>48192020</v>
      </c>
      <c r="L8" s="3" t="s">
        <v>52</v>
      </c>
      <c r="M8" s="3" t="s">
        <v>53</v>
      </c>
      <c r="N8" s="5">
        <f t="shared" si="0"/>
        <v>18</v>
      </c>
    </row>
    <row r="9" spans="1:14" ht="14.4" x14ac:dyDescent="0.3">
      <c r="A9" s="3" t="s">
        <v>54</v>
      </c>
      <c r="B9" s="3" t="s">
        <v>55</v>
      </c>
      <c r="C9" s="3" t="s">
        <v>56</v>
      </c>
      <c r="D9" s="3" t="s">
        <v>57</v>
      </c>
      <c r="E9" s="3" t="s">
        <v>22</v>
      </c>
      <c r="F9" s="3" t="s">
        <v>58</v>
      </c>
      <c r="G9" s="3" t="s">
        <v>3273</v>
      </c>
      <c r="H9" s="7">
        <v>45005</v>
      </c>
      <c r="I9" s="6">
        <v>74400</v>
      </c>
      <c r="J9" s="6">
        <v>13392</v>
      </c>
      <c r="K9" s="4">
        <v>96020030</v>
      </c>
      <c r="L9" s="3"/>
      <c r="M9" s="3" t="s">
        <v>59</v>
      </c>
      <c r="N9" s="5">
        <f t="shared" si="0"/>
        <v>18</v>
      </c>
    </row>
    <row r="10" spans="1:14" ht="14.4" x14ac:dyDescent="0.3">
      <c r="A10" s="3" t="s">
        <v>60</v>
      </c>
      <c r="B10" s="3" t="s">
        <v>61</v>
      </c>
      <c r="C10" s="3" t="s">
        <v>62</v>
      </c>
      <c r="D10" s="3" t="s">
        <v>57</v>
      </c>
      <c r="E10" s="3" t="s">
        <v>22</v>
      </c>
      <c r="F10" s="3" t="s">
        <v>63</v>
      </c>
      <c r="G10" s="3">
        <v>1402</v>
      </c>
      <c r="H10" s="7">
        <v>45001</v>
      </c>
      <c r="I10" s="6">
        <v>59396.1</v>
      </c>
      <c r="J10" s="6">
        <v>10691.3</v>
      </c>
      <c r="K10" s="4">
        <v>39219023</v>
      </c>
      <c r="L10" s="3" t="s">
        <v>64</v>
      </c>
      <c r="M10" s="3" t="s">
        <v>36</v>
      </c>
      <c r="N10" s="5">
        <f t="shared" si="0"/>
        <v>18.000003367224448</v>
      </c>
    </row>
    <row r="11" spans="1:14" ht="14.4" x14ac:dyDescent="0.3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3274</v>
      </c>
      <c r="H11" s="7">
        <v>45000</v>
      </c>
      <c r="I11" s="6">
        <v>174275</v>
      </c>
      <c r="J11" s="6">
        <v>31369.5</v>
      </c>
      <c r="K11" s="4">
        <v>29372900</v>
      </c>
      <c r="L11" s="3" t="s">
        <v>71</v>
      </c>
      <c r="M11" s="3" t="s">
        <v>72</v>
      </c>
      <c r="N11" s="5">
        <f t="shared" si="0"/>
        <v>18</v>
      </c>
    </row>
    <row r="12" spans="1:14" ht="14.4" x14ac:dyDescent="0.3">
      <c r="A12" s="3" t="s">
        <v>73</v>
      </c>
      <c r="B12" s="3" t="s">
        <v>74</v>
      </c>
      <c r="C12" s="3" t="s">
        <v>20</v>
      </c>
      <c r="D12" s="3" t="s">
        <v>50</v>
      </c>
      <c r="E12" s="3" t="s">
        <v>22</v>
      </c>
      <c r="F12" s="3" t="s">
        <v>75</v>
      </c>
      <c r="G12" s="3" t="s">
        <v>3275</v>
      </c>
      <c r="H12" s="7">
        <v>44998</v>
      </c>
      <c r="I12" s="6">
        <v>25751.55</v>
      </c>
      <c r="J12" s="6">
        <v>4635.28</v>
      </c>
      <c r="K12" s="4">
        <v>48192090</v>
      </c>
      <c r="L12" s="3" t="s">
        <v>76</v>
      </c>
      <c r="M12" s="3" t="s">
        <v>59</v>
      </c>
      <c r="N12" s="5">
        <f t="shared" si="0"/>
        <v>18.000003883261396</v>
      </c>
    </row>
    <row r="13" spans="1:14" ht="14.4" x14ac:dyDescent="0.3">
      <c r="A13" s="3" t="s">
        <v>77</v>
      </c>
      <c r="B13" s="3" t="s">
        <v>78</v>
      </c>
      <c r="C13" s="3" t="s">
        <v>26</v>
      </c>
      <c r="D13" s="3" t="s">
        <v>79</v>
      </c>
      <c r="E13" s="3" t="s">
        <v>80</v>
      </c>
      <c r="F13" s="3" t="s">
        <v>81</v>
      </c>
      <c r="G13" s="3">
        <v>12301</v>
      </c>
      <c r="H13" s="7">
        <v>44998</v>
      </c>
      <c r="I13" s="6">
        <v>52016</v>
      </c>
      <c r="J13" s="6">
        <v>9362.8799999999992</v>
      </c>
      <c r="K13" s="4">
        <v>39239090</v>
      </c>
      <c r="L13" s="3" t="s">
        <v>82</v>
      </c>
      <c r="M13" s="3" t="s">
        <v>59</v>
      </c>
      <c r="N13" s="5">
        <f t="shared" si="0"/>
        <v>17.999999999999996</v>
      </c>
    </row>
    <row r="14" spans="1:14" ht="14.4" x14ac:dyDescent="0.3">
      <c r="A14" s="3" t="s">
        <v>83</v>
      </c>
      <c r="B14" s="3" t="s">
        <v>84</v>
      </c>
      <c r="C14" s="3" t="s">
        <v>20</v>
      </c>
      <c r="D14" s="3" t="s">
        <v>85</v>
      </c>
      <c r="E14" s="3" t="s">
        <v>22</v>
      </c>
      <c r="F14" s="3" t="s">
        <v>86</v>
      </c>
      <c r="G14" s="3" t="s">
        <v>3276</v>
      </c>
      <c r="H14" s="7">
        <v>44987</v>
      </c>
      <c r="I14" s="6">
        <v>12325</v>
      </c>
      <c r="J14" s="6">
        <v>2218.5</v>
      </c>
      <c r="K14" s="4">
        <v>3921</v>
      </c>
      <c r="L14" s="3" t="s">
        <v>87</v>
      </c>
      <c r="M14" s="3"/>
      <c r="N14" s="5">
        <f t="shared" si="0"/>
        <v>18</v>
      </c>
    </row>
    <row r="15" spans="1:14" ht="14.4" x14ac:dyDescent="0.3">
      <c r="A15" s="3" t="s">
        <v>88</v>
      </c>
      <c r="B15" s="3" t="s">
        <v>89</v>
      </c>
      <c r="C15" s="3" t="s">
        <v>20</v>
      </c>
      <c r="D15" s="3" t="s">
        <v>50</v>
      </c>
      <c r="E15" s="3" t="s">
        <v>22</v>
      </c>
      <c r="F15" s="3" t="s">
        <v>90</v>
      </c>
      <c r="G15" s="3">
        <v>1376</v>
      </c>
      <c r="H15" s="7">
        <v>44994</v>
      </c>
      <c r="I15" s="6">
        <v>13500</v>
      </c>
      <c r="J15" s="6">
        <v>2430</v>
      </c>
      <c r="K15" s="4">
        <v>84425010</v>
      </c>
      <c r="L15" s="3" t="s">
        <v>91</v>
      </c>
      <c r="M15" s="3" t="s">
        <v>92</v>
      </c>
      <c r="N15" s="5">
        <f t="shared" si="0"/>
        <v>18</v>
      </c>
    </row>
    <row r="16" spans="1:14" ht="14.4" x14ac:dyDescent="0.3">
      <c r="A16" s="3" t="s">
        <v>93</v>
      </c>
      <c r="B16" s="3" t="s">
        <v>94</v>
      </c>
      <c r="C16" s="3" t="s">
        <v>26</v>
      </c>
      <c r="D16" s="3" t="s">
        <v>95</v>
      </c>
      <c r="E16" s="3" t="s">
        <v>22</v>
      </c>
      <c r="F16" s="3" t="s">
        <v>96</v>
      </c>
      <c r="G16" s="3" t="s">
        <v>3277</v>
      </c>
      <c r="H16" s="7">
        <v>44991</v>
      </c>
      <c r="I16" s="6">
        <v>68446.100000000006</v>
      </c>
      <c r="J16" s="6">
        <v>12320.32</v>
      </c>
      <c r="K16" s="4">
        <v>48192090</v>
      </c>
      <c r="L16" s="3" t="s">
        <v>97</v>
      </c>
      <c r="M16" s="3" t="s">
        <v>98</v>
      </c>
      <c r="N16" s="5">
        <f t="shared" si="0"/>
        <v>18.000032142079679</v>
      </c>
    </row>
    <row r="17" spans="1:14" ht="14.4" x14ac:dyDescent="0.3">
      <c r="A17" s="3" t="s">
        <v>99</v>
      </c>
      <c r="B17" s="3" t="s">
        <v>55</v>
      </c>
      <c r="C17" s="3" t="s">
        <v>56</v>
      </c>
      <c r="D17" s="3" t="s">
        <v>57</v>
      </c>
      <c r="E17" s="3" t="s">
        <v>22</v>
      </c>
      <c r="F17" s="3" t="s">
        <v>100</v>
      </c>
      <c r="G17" s="3" t="s">
        <v>3278</v>
      </c>
      <c r="H17" s="7">
        <v>44988</v>
      </c>
      <c r="I17" s="6">
        <v>190900</v>
      </c>
      <c r="J17" s="6">
        <v>34362</v>
      </c>
      <c r="K17" s="4">
        <v>29420090</v>
      </c>
      <c r="L17" s="3"/>
      <c r="M17" s="3" t="s">
        <v>32</v>
      </c>
      <c r="N17" s="5">
        <f t="shared" si="0"/>
        <v>18</v>
      </c>
    </row>
    <row r="18" spans="1:14" ht="14.4" x14ac:dyDescent="0.3">
      <c r="A18" s="3" t="s">
        <v>101</v>
      </c>
      <c r="B18" s="3" t="s">
        <v>61</v>
      </c>
      <c r="C18" s="3" t="s">
        <v>62</v>
      </c>
      <c r="D18" s="3" t="s">
        <v>57</v>
      </c>
      <c r="E18" s="3" t="s">
        <v>22</v>
      </c>
      <c r="F18" s="3" t="s">
        <v>102</v>
      </c>
      <c r="G18" s="3">
        <v>1347</v>
      </c>
      <c r="H18" s="7">
        <v>44987</v>
      </c>
      <c r="I18" s="6">
        <v>46689.599999999999</v>
      </c>
      <c r="J18" s="6">
        <v>8404.1200000000008</v>
      </c>
      <c r="K18" s="4">
        <v>39204900</v>
      </c>
      <c r="L18" s="3" t="s">
        <v>103</v>
      </c>
      <c r="M18" s="3" t="s">
        <v>104</v>
      </c>
      <c r="N18" s="5">
        <f t="shared" si="0"/>
        <v>17.999982865563211</v>
      </c>
    </row>
    <row r="19" spans="1:14" ht="14.4" x14ac:dyDescent="0.3">
      <c r="A19" s="3" t="s">
        <v>105</v>
      </c>
      <c r="B19" s="3" t="s">
        <v>94</v>
      </c>
      <c r="C19" s="3" t="s">
        <v>26</v>
      </c>
      <c r="D19" s="3" t="s">
        <v>95</v>
      </c>
      <c r="E19" s="3" t="s">
        <v>22</v>
      </c>
      <c r="F19" s="3" t="s">
        <v>106</v>
      </c>
      <c r="G19" s="3" t="s">
        <v>3279</v>
      </c>
      <c r="H19" s="7">
        <v>45016</v>
      </c>
      <c r="I19" s="6">
        <v>186045.55</v>
      </c>
      <c r="J19" s="6">
        <v>33488.199999999997</v>
      </c>
      <c r="K19" s="4">
        <v>48192090</v>
      </c>
      <c r="L19" s="3" t="s">
        <v>97</v>
      </c>
      <c r="M19" s="3" t="s">
        <v>107</v>
      </c>
      <c r="N19" s="5">
        <f t="shared" si="0"/>
        <v>18.000000537502778</v>
      </c>
    </row>
    <row r="20" spans="1:14" ht="14.4" x14ac:dyDescent="0.3">
      <c r="A20" s="3" t="s">
        <v>108</v>
      </c>
      <c r="B20" s="3" t="s">
        <v>94</v>
      </c>
      <c r="C20" s="3" t="s">
        <v>26</v>
      </c>
      <c r="D20" s="3" t="s">
        <v>95</v>
      </c>
      <c r="E20" s="3" t="s">
        <v>22</v>
      </c>
      <c r="F20" s="3" t="s">
        <v>109</v>
      </c>
      <c r="G20" s="3" t="s">
        <v>3280</v>
      </c>
      <c r="H20" s="7">
        <v>45015</v>
      </c>
      <c r="I20" s="6">
        <v>29420.5</v>
      </c>
      <c r="J20" s="6">
        <v>5295.7</v>
      </c>
      <c r="K20" s="4">
        <v>48192090</v>
      </c>
      <c r="L20" s="3" t="s">
        <v>97</v>
      </c>
      <c r="M20" s="3" t="s">
        <v>107</v>
      </c>
      <c r="N20" s="5">
        <f t="shared" si="0"/>
        <v>18.000033989904999</v>
      </c>
    </row>
    <row r="21" spans="1:14" ht="14.4" x14ac:dyDescent="0.3">
      <c r="A21" s="3" t="s">
        <v>110</v>
      </c>
      <c r="B21" s="3" t="s">
        <v>111</v>
      </c>
      <c r="C21" s="3" t="s">
        <v>20</v>
      </c>
      <c r="D21" s="3" t="s">
        <v>112</v>
      </c>
      <c r="E21" s="3" t="s">
        <v>22</v>
      </c>
      <c r="F21" s="3" t="s">
        <v>113</v>
      </c>
      <c r="G21" s="3">
        <v>1651</v>
      </c>
      <c r="H21" s="7">
        <v>45014</v>
      </c>
      <c r="I21" s="6">
        <v>10000</v>
      </c>
      <c r="J21" s="6">
        <v>1800</v>
      </c>
      <c r="K21" s="4">
        <v>48211020</v>
      </c>
      <c r="L21" s="3"/>
      <c r="M21" s="3" t="s">
        <v>114</v>
      </c>
      <c r="N21" s="5">
        <f t="shared" si="0"/>
        <v>18</v>
      </c>
    </row>
    <row r="22" spans="1:14" ht="14.4" x14ac:dyDescent="0.3">
      <c r="A22" s="3" t="s">
        <v>115</v>
      </c>
      <c r="B22" s="3" t="s">
        <v>116</v>
      </c>
      <c r="C22" s="3" t="s">
        <v>20</v>
      </c>
      <c r="D22" s="3" t="s">
        <v>95</v>
      </c>
      <c r="E22" s="3" t="s">
        <v>22</v>
      </c>
      <c r="F22" s="3" t="s">
        <v>117</v>
      </c>
      <c r="G22" s="3" t="s">
        <v>3281</v>
      </c>
      <c r="H22" s="7">
        <v>45012</v>
      </c>
      <c r="I22" s="6">
        <v>46910.3</v>
      </c>
      <c r="J22" s="6">
        <v>8443.86</v>
      </c>
      <c r="K22" s="4">
        <v>39239090</v>
      </c>
      <c r="L22" s="3" t="s">
        <v>118</v>
      </c>
      <c r="M22" s="3" t="s">
        <v>36</v>
      </c>
      <c r="N22" s="5">
        <f t="shared" si="0"/>
        <v>18.000012790368</v>
      </c>
    </row>
    <row r="23" spans="1:14" ht="14.4" x14ac:dyDescent="0.3">
      <c r="A23" s="3" t="s">
        <v>119</v>
      </c>
      <c r="B23" s="3" t="s">
        <v>49</v>
      </c>
      <c r="C23" s="3" t="s">
        <v>20</v>
      </c>
      <c r="D23" s="3" t="s">
        <v>50</v>
      </c>
      <c r="E23" s="3" t="s">
        <v>22</v>
      </c>
      <c r="F23" s="3" t="s">
        <v>120</v>
      </c>
      <c r="G23" s="3" t="s">
        <v>3282</v>
      </c>
      <c r="H23" s="7">
        <v>45012</v>
      </c>
      <c r="I23" s="6">
        <v>71410</v>
      </c>
      <c r="J23" s="6">
        <v>12853.8</v>
      </c>
      <c r="K23" s="4">
        <v>48192020</v>
      </c>
      <c r="L23" s="3" t="s">
        <v>52</v>
      </c>
      <c r="M23" s="3" t="s">
        <v>36</v>
      </c>
      <c r="N23" s="5">
        <f t="shared" si="0"/>
        <v>18</v>
      </c>
    </row>
    <row r="24" spans="1:14" ht="14.4" x14ac:dyDescent="0.3">
      <c r="A24" s="3" t="s">
        <v>121</v>
      </c>
      <c r="B24" s="3" t="s">
        <v>94</v>
      </c>
      <c r="C24" s="3" t="s">
        <v>26</v>
      </c>
      <c r="D24" s="3" t="s">
        <v>95</v>
      </c>
      <c r="E24" s="3" t="s">
        <v>22</v>
      </c>
      <c r="F24" s="3" t="s">
        <v>122</v>
      </c>
      <c r="G24" s="3" t="s">
        <v>3283</v>
      </c>
      <c r="H24" s="7">
        <v>45013</v>
      </c>
      <c r="I24" s="6">
        <v>31777.25</v>
      </c>
      <c r="J24" s="6">
        <v>5719.9</v>
      </c>
      <c r="K24" s="4">
        <v>48192090</v>
      </c>
      <c r="L24" s="3" t="s">
        <v>97</v>
      </c>
      <c r="M24" s="3" t="s">
        <v>36</v>
      </c>
      <c r="N24" s="5">
        <f t="shared" si="0"/>
        <v>17.999984265472939</v>
      </c>
    </row>
    <row r="25" spans="1:14" ht="14.4" x14ac:dyDescent="0.3">
      <c r="A25" s="3" t="s">
        <v>123</v>
      </c>
      <c r="B25" s="3" t="s">
        <v>124</v>
      </c>
      <c r="C25" s="3" t="s">
        <v>20</v>
      </c>
      <c r="D25" s="3" t="s">
        <v>125</v>
      </c>
      <c r="E25" s="3" t="s">
        <v>22</v>
      </c>
      <c r="F25" s="3" t="s">
        <v>126</v>
      </c>
      <c r="G25" s="3" t="s">
        <v>3284</v>
      </c>
      <c r="H25" s="7">
        <v>45013</v>
      </c>
      <c r="I25" s="6">
        <v>92640</v>
      </c>
      <c r="J25" s="6">
        <v>16675.2</v>
      </c>
      <c r="K25" s="4">
        <v>48192020</v>
      </c>
      <c r="L25" s="3"/>
      <c r="M25" s="3" t="s">
        <v>36</v>
      </c>
      <c r="N25" s="5">
        <f t="shared" si="0"/>
        <v>18</v>
      </c>
    </row>
    <row r="26" spans="1:14" ht="14.4" x14ac:dyDescent="0.3">
      <c r="A26" s="3" t="s">
        <v>127</v>
      </c>
      <c r="B26" s="3" t="s">
        <v>89</v>
      </c>
      <c r="C26" s="3" t="s">
        <v>20</v>
      </c>
      <c r="D26" s="3" t="s">
        <v>50</v>
      </c>
      <c r="E26" s="3" t="s">
        <v>22</v>
      </c>
      <c r="F26" s="3" t="s">
        <v>128</v>
      </c>
      <c r="G26" s="3">
        <v>1461</v>
      </c>
      <c r="H26" s="7">
        <v>45012</v>
      </c>
      <c r="I26" s="6">
        <v>3700</v>
      </c>
      <c r="J26" s="6">
        <v>666</v>
      </c>
      <c r="K26" s="4">
        <v>84425010</v>
      </c>
      <c r="L26" s="3" t="s">
        <v>91</v>
      </c>
      <c r="M26" s="3" t="s">
        <v>36</v>
      </c>
      <c r="N26" s="5">
        <f t="shared" si="0"/>
        <v>18</v>
      </c>
    </row>
    <row r="27" spans="1:14" ht="14.4" x14ac:dyDescent="0.3">
      <c r="A27" s="3" t="s">
        <v>129</v>
      </c>
      <c r="B27" s="3" t="s">
        <v>89</v>
      </c>
      <c r="C27" s="3" t="s">
        <v>20</v>
      </c>
      <c r="D27" s="3" t="s">
        <v>50</v>
      </c>
      <c r="E27" s="3" t="s">
        <v>22</v>
      </c>
      <c r="F27" s="3" t="s">
        <v>130</v>
      </c>
      <c r="G27" s="3">
        <v>1460</v>
      </c>
      <c r="H27" s="7">
        <v>45012</v>
      </c>
      <c r="I27" s="6">
        <v>47563.3</v>
      </c>
      <c r="J27" s="6">
        <v>8561.4</v>
      </c>
      <c r="K27" s="4">
        <v>76071994</v>
      </c>
      <c r="L27" s="3" t="s">
        <v>131</v>
      </c>
      <c r="M27" s="3" t="s">
        <v>36</v>
      </c>
      <c r="N27" s="5">
        <f t="shared" si="0"/>
        <v>18.000012614768107</v>
      </c>
    </row>
    <row r="28" spans="1:14" ht="14.4" x14ac:dyDescent="0.3">
      <c r="A28" s="3" t="s">
        <v>132</v>
      </c>
      <c r="B28" s="3" t="s">
        <v>133</v>
      </c>
      <c r="C28" s="3" t="s">
        <v>134</v>
      </c>
      <c r="D28" s="3" t="s">
        <v>135</v>
      </c>
      <c r="E28" s="3" t="s">
        <v>136</v>
      </c>
      <c r="F28" s="3" t="s">
        <v>137</v>
      </c>
      <c r="G28" s="3" t="s">
        <v>3285</v>
      </c>
      <c r="H28" s="7">
        <v>45011</v>
      </c>
      <c r="I28" s="6">
        <v>156000</v>
      </c>
      <c r="J28" s="6">
        <v>7800</v>
      </c>
      <c r="K28" s="4">
        <v>17011490</v>
      </c>
      <c r="L28" s="3" t="s">
        <v>138</v>
      </c>
      <c r="M28" s="3" t="s">
        <v>139</v>
      </c>
      <c r="N28" s="5">
        <f t="shared" si="0"/>
        <v>5</v>
      </c>
    </row>
    <row r="29" spans="1:14" ht="14.4" x14ac:dyDescent="0.3">
      <c r="A29" s="3" t="s">
        <v>140</v>
      </c>
      <c r="B29" s="3" t="s">
        <v>94</v>
      </c>
      <c r="C29" s="3" t="s">
        <v>26</v>
      </c>
      <c r="D29" s="3" t="s">
        <v>95</v>
      </c>
      <c r="E29" s="3" t="s">
        <v>22</v>
      </c>
      <c r="F29" s="3" t="s">
        <v>141</v>
      </c>
      <c r="G29" s="3" t="s">
        <v>3286</v>
      </c>
      <c r="H29" s="7">
        <v>45009</v>
      </c>
      <c r="I29" s="6">
        <v>262462</v>
      </c>
      <c r="J29" s="6">
        <v>47243.16</v>
      </c>
      <c r="K29" s="4">
        <v>48192090</v>
      </c>
      <c r="L29" s="3" t="s">
        <v>97</v>
      </c>
      <c r="M29" s="3" t="s">
        <v>59</v>
      </c>
      <c r="N29" s="5">
        <f t="shared" si="0"/>
        <v>18</v>
      </c>
    </row>
    <row r="30" spans="1:14" ht="14.4" x14ac:dyDescent="0.3">
      <c r="A30" s="3" t="s">
        <v>142</v>
      </c>
      <c r="B30" s="3" t="s">
        <v>94</v>
      </c>
      <c r="C30" s="3" t="s">
        <v>26</v>
      </c>
      <c r="D30" s="3" t="s">
        <v>95</v>
      </c>
      <c r="E30" s="3" t="s">
        <v>22</v>
      </c>
      <c r="F30" s="3" t="s">
        <v>143</v>
      </c>
      <c r="G30" s="3" t="s">
        <v>3287</v>
      </c>
      <c r="H30" s="7">
        <v>45008</v>
      </c>
      <c r="I30" s="6">
        <v>88037.6</v>
      </c>
      <c r="J30" s="6">
        <v>15846.78</v>
      </c>
      <c r="K30" s="4">
        <v>48192090</v>
      </c>
      <c r="L30" s="3" t="s">
        <v>97</v>
      </c>
      <c r="M30" s="3" t="s">
        <v>36</v>
      </c>
      <c r="N30" s="5">
        <f t="shared" si="0"/>
        <v>18.000013630539677</v>
      </c>
    </row>
    <row r="31" spans="1:14" ht="14.4" x14ac:dyDescent="0.3">
      <c r="A31" s="3" t="s">
        <v>144</v>
      </c>
      <c r="B31" s="3" t="s">
        <v>145</v>
      </c>
      <c r="C31" s="3" t="s">
        <v>20</v>
      </c>
      <c r="D31" s="3" t="s">
        <v>146</v>
      </c>
      <c r="E31" s="3" t="s">
        <v>22</v>
      </c>
      <c r="F31" s="3" t="s">
        <v>147</v>
      </c>
      <c r="G31" s="3" t="s">
        <v>3288</v>
      </c>
      <c r="H31" s="7">
        <v>45008</v>
      </c>
      <c r="I31" s="6">
        <v>119850</v>
      </c>
      <c r="J31" s="6">
        <v>14382</v>
      </c>
      <c r="K31" s="4">
        <v>11081200</v>
      </c>
      <c r="L31" s="3"/>
      <c r="M31" s="3" t="s">
        <v>148</v>
      </c>
      <c r="N31" s="5">
        <f t="shared" si="0"/>
        <v>12</v>
      </c>
    </row>
    <row r="32" spans="1:14" ht="14.4" x14ac:dyDescent="0.3">
      <c r="A32" s="3" t="s">
        <v>149</v>
      </c>
      <c r="B32" s="3" t="s">
        <v>150</v>
      </c>
      <c r="C32" s="3" t="s">
        <v>134</v>
      </c>
      <c r="D32" s="3" t="s">
        <v>151</v>
      </c>
      <c r="E32" s="3" t="s">
        <v>22</v>
      </c>
      <c r="F32" s="3" t="s">
        <v>152</v>
      </c>
      <c r="G32" s="3" t="s">
        <v>3289</v>
      </c>
      <c r="H32" s="7">
        <v>45008</v>
      </c>
      <c r="I32" s="6">
        <v>29000</v>
      </c>
      <c r="J32" s="6">
        <v>5220</v>
      </c>
      <c r="K32" s="4">
        <v>39233090</v>
      </c>
      <c r="L32" s="3" t="s">
        <v>153</v>
      </c>
      <c r="M32" s="3" t="s">
        <v>36</v>
      </c>
      <c r="N32" s="5">
        <f t="shared" si="0"/>
        <v>18</v>
      </c>
    </row>
    <row r="33" spans="1:14" ht="14.4" x14ac:dyDescent="0.3">
      <c r="A33" s="3" t="s">
        <v>154</v>
      </c>
      <c r="B33" s="3" t="s">
        <v>155</v>
      </c>
      <c r="C33" s="3" t="s">
        <v>20</v>
      </c>
      <c r="D33" s="3" t="s">
        <v>156</v>
      </c>
      <c r="E33" s="3" t="s">
        <v>22</v>
      </c>
      <c r="F33" s="3" t="s">
        <v>157</v>
      </c>
      <c r="G33" s="3" t="s">
        <v>3290</v>
      </c>
      <c r="H33" s="7">
        <v>45008</v>
      </c>
      <c r="I33" s="6">
        <v>87021</v>
      </c>
      <c r="J33" s="6">
        <v>15663.78</v>
      </c>
      <c r="K33" s="4">
        <v>48191010</v>
      </c>
      <c r="L33" s="3" t="s">
        <v>158</v>
      </c>
      <c r="M33" s="3" t="s">
        <v>159</v>
      </c>
      <c r="N33" s="5">
        <f t="shared" si="0"/>
        <v>18</v>
      </c>
    </row>
    <row r="34" spans="1:14" ht="14.4" x14ac:dyDescent="0.3">
      <c r="A34" s="3" t="s">
        <v>160</v>
      </c>
      <c r="B34" s="3" t="s">
        <v>161</v>
      </c>
      <c r="C34" s="3" t="s">
        <v>56</v>
      </c>
      <c r="D34" s="3" t="s">
        <v>57</v>
      </c>
      <c r="E34" s="3" t="s">
        <v>162</v>
      </c>
      <c r="F34" s="3" t="s">
        <v>163</v>
      </c>
      <c r="G34" s="3" t="s">
        <v>3291</v>
      </c>
      <c r="H34" s="7">
        <v>45007</v>
      </c>
      <c r="I34" s="6">
        <v>660330</v>
      </c>
      <c r="J34" s="6">
        <v>118859.4</v>
      </c>
      <c r="K34" s="4">
        <v>29222933</v>
      </c>
      <c r="L34" s="3" t="s">
        <v>164</v>
      </c>
      <c r="M34" s="3" t="s">
        <v>53</v>
      </c>
      <c r="N34" s="5">
        <f t="shared" si="0"/>
        <v>18</v>
      </c>
    </row>
    <row r="35" spans="1:14" ht="14.4" x14ac:dyDescent="0.3">
      <c r="A35" s="3" t="s">
        <v>165</v>
      </c>
      <c r="B35" s="3" t="s">
        <v>166</v>
      </c>
      <c r="C35" s="3" t="s">
        <v>20</v>
      </c>
      <c r="D35" s="3" t="s">
        <v>167</v>
      </c>
      <c r="E35" s="3" t="s">
        <v>22</v>
      </c>
      <c r="F35" s="3" t="s">
        <v>168</v>
      </c>
      <c r="G35" s="3">
        <v>768</v>
      </c>
      <c r="H35" s="7">
        <v>45007</v>
      </c>
      <c r="I35" s="6">
        <v>119263.9</v>
      </c>
      <c r="J35" s="6">
        <v>21467.5</v>
      </c>
      <c r="K35" s="4">
        <v>76071995</v>
      </c>
      <c r="L35" s="3" t="s">
        <v>169</v>
      </c>
      <c r="M35" s="3" t="s">
        <v>53</v>
      </c>
      <c r="N35" s="5">
        <f t="shared" si="0"/>
        <v>17.999998323046622</v>
      </c>
    </row>
    <row r="36" spans="1:14" ht="14.4" x14ac:dyDescent="0.3">
      <c r="A36" s="3" t="s">
        <v>170</v>
      </c>
      <c r="B36" s="3" t="s">
        <v>171</v>
      </c>
      <c r="C36" s="3" t="s">
        <v>13</v>
      </c>
      <c r="D36" s="3" t="s">
        <v>172</v>
      </c>
      <c r="E36" s="3" t="s">
        <v>15</v>
      </c>
      <c r="F36" s="3" t="s">
        <v>173</v>
      </c>
      <c r="G36" s="3" t="s">
        <v>3292</v>
      </c>
      <c r="H36" s="7">
        <v>45005</v>
      </c>
      <c r="I36" s="6">
        <v>34770</v>
      </c>
      <c r="J36" s="6">
        <v>6258.6</v>
      </c>
      <c r="K36" s="4">
        <v>4821</v>
      </c>
      <c r="L36" s="3" t="s">
        <v>174</v>
      </c>
      <c r="M36" s="3" t="s">
        <v>36</v>
      </c>
      <c r="N36" s="5">
        <f t="shared" si="0"/>
        <v>18</v>
      </c>
    </row>
    <row r="37" spans="1:14" ht="14.4" x14ac:dyDescent="0.3">
      <c r="A37" s="3" t="s">
        <v>175</v>
      </c>
      <c r="B37" s="3" t="s">
        <v>89</v>
      </c>
      <c r="C37" s="3" t="s">
        <v>20</v>
      </c>
      <c r="D37" s="3" t="s">
        <v>50</v>
      </c>
      <c r="E37" s="3" t="s">
        <v>22</v>
      </c>
      <c r="F37" s="3" t="s">
        <v>176</v>
      </c>
      <c r="G37" s="3">
        <v>1430</v>
      </c>
      <c r="H37" s="7">
        <v>45006</v>
      </c>
      <c r="I37" s="6">
        <v>39707.199999999997</v>
      </c>
      <c r="J37" s="6">
        <v>7147.3</v>
      </c>
      <c r="K37" s="4">
        <v>76071994</v>
      </c>
      <c r="L37" s="3" t="s">
        <v>131</v>
      </c>
      <c r="M37" s="3" t="s">
        <v>36</v>
      </c>
      <c r="N37" s="5">
        <f t="shared" si="0"/>
        <v>18.000010073739777</v>
      </c>
    </row>
    <row r="38" spans="1:14" ht="14.4" x14ac:dyDescent="0.3">
      <c r="A38" s="3" t="s">
        <v>177</v>
      </c>
      <c r="B38" s="3" t="s">
        <v>178</v>
      </c>
      <c r="C38" s="3" t="s">
        <v>20</v>
      </c>
      <c r="D38" s="3" t="s">
        <v>50</v>
      </c>
      <c r="E38" s="3" t="s">
        <v>22</v>
      </c>
      <c r="F38" s="3" t="s">
        <v>179</v>
      </c>
      <c r="G38" s="3" t="s">
        <v>3293</v>
      </c>
      <c r="H38" s="7">
        <v>45005</v>
      </c>
      <c r="I38" s="6">
        <v>76117.5</v>
      </c>
      <c r="J38" s="6">
        <v>13701.14</v>
      </c>
      <c r="K38" s="4">
        <v>76071995</v>
      </c>
      <c r="L38" s="3" t="s">
        <v>180</v>
      </c>
      <c r="M38" s="3" t="s">
        <v>59</v>
      </c>
      <c r="N38" s="5">
        <f t="shared" si="0"/>
        <v>17.999986862416659</v>
      </c>
    </row>
    <row r="39" spans="1:14" ht="14.4" x14ac:dyDescent="0.3">
      <c r="A39" s="3" t="s">
        <v>181</v>
      </c>
      <c r="B39" s="3" t="s">
        <v>182</v>
      </c>
      <c r="C39" s="3" t="s">
        <v>20</v>
      </c>
      <c r="D39" s="3" t="s">
        <v>167</v>
      </c>
      <c r="E39" s="3" t="s">
        <v>22</v>
      </c>
      <c r="F39" s="3" t="s">
        <v>183</v>
      </c>
      <c r="G39" s="3" t="s">
        <v>3294</v>
      </c>
      <c r="H39" s="7">
        <v>45005</v>
      </c>
      <c r="I39" s="6">
        <v>80850</v>
      </c>
      <c r="J39" s="6">
        <v>14553</v>
      </c>
      <c r="K39" s="4">
        <v>29242990</v>
      </c>
      <c r="L39" s="3" t="s">
        <v>184</v>
      </c>
      <c r="M39" s="3" t="s">
        <v>59</v>
      </c>
      <c r="N39" s="5">
        <f t="shared" si="0"/>
        <v>18</v>
      </c>
    </row>
    <row r="40" spans="1:14" ht="14.4" x14ac:dyDescent="0.3">
      <c r="A40" s="3" t="s">
        <v>185</v>
      </c>
      <c r="B40" s="3" t="s">
        <v>186</v>
      </c>
      <c r="C40" s="3" t="s">
        <v>187</v>
      </c>
      <c r="D40" s="3" t="s">
        <v>39</v>
      </c>
      <c r="E40" s="3" t="s">
        <v>188</v>
      </c>
      <c r="F40" s="3" t="s">
        <v>189</v>
      </c>
      <c r="G40" s="3" t="s">
        <v>3295</v>
      </c>
      <c r="H40" s="7">
        <v>45005</v>
      </c>
      <c r="I40" s="6">
        <v>54432</v>
      </c>
      <c r="J40" s="6">
        <v>9797.76</v>
      </c>
      <c r="K40" s="4">
        <v>39233090</v>
      </c>
      <c r="L40" s="3" t="s">
        <v>190</v>
      </c>
      <c r="M40" s="3" t="s">
        <v>59</v>
      </c>
      <c r="N40" s="5">
        <f t="shared" si="0"/>
        <v>18</v>
      </c>
    </row>
    <row r="41" spans="1:14" ht="14.4" x14ac:dyDescent="0.3">
      <c r="A41" s="3" t="s">
        <v>191</v>
      </c>
      <c r="B41" s="3" t="s">
        <v>192</v>
      </c>
      <c r="C41" s="3" t="s">
        <v>20</v>
      </c>
      <c r="D41" s="3" t="s">
        <v>193</v>
      </c>
      <c r="E41" s="3" t="s">
        <v>22</v>
      </c>
      <c r="F41" s="3" t="s">
        <v>194</v>
      </c>
      <c r="G41" s="3" t="s">
        <v>3296</v>
      </c>
      <c r="H41" s="7">
        <v>45003</v>
      </c>
      <c r="I41" s="6">
        <v>45042.9</v>
      </c>
      <c r="J41" s="6">
        <v>8107.72</v>
      </c>
      <c r="K41" s="4">
        <v>4819</v>
      </c>
      <c r="L41" s="3"/>
      <c r="M41" s="3" t="s">
        <v>195</v>
      </c>
      <c r="N41" s="5">
        <f t="shared" si="0"/>
        <v>17.999995559788555</v>
      </c>
    </row>
    <row r="42" spans="1:14" ht="14.4" x14ac:dyDescent="0.3">
      <c r="A42" s="3" t="s">
        <v>196</v>
      </c>
      <c r="B42" s="3" t="s">
        <v>197</v>
      </c>
      <c r="C42" s="3" t="s">
        <v>20</v>
      </c>
      <c r="D42" s="3" t="s">
        <v>57</v>
      </c>
      <c r="E42" s="3" t="s">
        <v>22</v>
      </c>
      <c r="F42" s="3" t="s">
        <v>198</v>
      </c>
      <c r="G42" s="3" t="s">
        <v>3297</v>
      </c>
      <c r="H42" s="7">
        <v>45001</v>
      </c>
      <c r="I42" s="6">
        <v>51775</v>
      </c>
      <c r="J42" s="6">
        <v>9319.5</v>
      </c>
      <c r="K42" s="4">
        <v>29372900</v>
      </c>
      <c r="L42" s="3" t="s">
        <v>199</v>
      </c>
      <c r="M42" s="3" t="s">
        <v>200</v>
      </c>
      <c r="N42" s="5">
        <f t="shared" si="0"/>
        <v>18</v>
      </c>
    </row>
    <row r="43" spans="1:14" ht="14.4" x14ac:dyDescent="0.3">
      <c r="A43" s="3" t="s">
        <v>201</v>
      </c>
      <c r="B43" s="3" t="s">
        <v>202</v>
      </c>
      <c r="C43" s="3" t="s">
        <v>134</v>
      </c>
      <c r="D43" s="3" t="s">
        <v>203</v>
      </c>
      <c r="E43" s="3" t="s">
        <v>204</v>
      </c>
      <c r="F43" s="3" t="s">
        <v>205</v>
      </c>
      <c r="G43" s="3" t="s">
        <v>3298</v>
      </c>
      <c r="H43" s="7">
        <v>45001</v>
      </c>
      <c r="I43" s="6">
        <v>836074.2</v>
      </c>
      <c r="J43" s="6">
        <v>150493.35999999999</v>
      </c>
      <c r="K43" s="4">
        <v>76071994</v>
      </c>
      <c r="L43" s="3" t="s">
        <v>206</v>
      </c>
      <c r="M43" s="3"/>
      <c r="N43" s="5">
        <f t="shared" si="0"/>
        <v>18.000000478426436</v>
      </c>
    </row>
    <row r="44" spans="1:14" ht="14.4" x14ac:dyDescent="0.3">
      <c r="A44" s="3" t="s">
        <v>207</v>
      </c>
      <c r="B44" s="3" t="s">
        <v>208</v>
      </c>
      <c r="C44" s="3" t="s">
        <v>209</v>
      </c>
      <c r="D44" s="3" t="s">
        <v>57</v>
      </c>
      <c r="E44" s="3" t="s">
        <v>22</v>
      </c>
      <c r="F44" s="3" t="s">
        <v>210</v>
      </c>
      <c r="G44" s="3" t="s">
        <v>3299</v>
      </c>
      <c r="H44" s="7">
        <v>45000</v>
      </c>
      <c r="I44" s="6">
        <v>252000</v>
      </c>
      <c r="J44" s="6">
        <v>45360</v>
      </c>
      <c r="K44" s="4">
        <v>29420090</v>
      </c>
      <c r="L44" s="3" t="s">
        <v>30</v>
      </c>
      <c r="M44" s="3" t="s">
        <v>36</v>
      </c>
      <c r="N44" s="5">
        <f t="shared" si="0"/>
        <v>18</v>
      </c>
    </row>
    <row r="45" spans="1:14" ht="14.4" x14ac:dyDescent="0.3">
      <c r="A45" s="3" t="s">
        <v>211</v>
      </c>
      <c r="B45" s="3" t="s">
        <v>212</v>
      </c>
      <c r="C45" s="3" t="s">
        <v>56</v>
      </c>
      <c r="D45" s="3" t="s">
        <v>213</v>
      </c>
      <c r="E45" s="3" t="s">
        <v>214</v>
      </c>
      <c r="F45" s="3" t="s">
        <v>215</v>
      </c>
      <c r="G45" s="3" t="s">
        <v>3300</v>
      </c>
      <c r="H45" s="7">
        <v>45000</v>
      </c>
      <c r="I45" s="6">
        <v>4050</v>
      </c>
      <c r="J45" s="6">
        <v>729</v>
      </c>
      <c r="K45" s="4">
        <v>34049020</v>
      </c>
      <c r="L45" s="3" t="s">
        <v>216</v>
      </c>
      <c r="M45" s="3" t="s">
        <v>59</v>
      </c>
      <c r="N45" s="5">
        <f t="shared" si="0"/>
        <v>18</v>
      </c>
    </row>
    <row r="46" spans="1:14" ht="14.4" x14ac:dyDescent="0.3">
      <c r="A46" s="3" t="s">
        <v>217</v>
      </c>
      <c r="B46" s="3" t="s">
        <v>212</v>
      </c>
      <c r="C46" s="3" t="s">
        <v>56</v>
      </c>
      <c r="D46" s="3" t="s">
        <v>213</v>
      </c>
      <c r="E46" s="3" t="s">
        <v>214</v>
      </c>
      <c r="F46" s="3" t="s">
        <v>218</v>
      </c>
      <c r="G46" s="3" t="s">
        <v>3301</v>
      </c>
      <c r="H46" s="7">
        <v>45000</v>
      </c>
      <c r="I46" s="6">
        <v>146300</v>
      </c>
      <c r="J46" s="6">
        <v>26334</v>
      </c>
      <c r="K46" s="4">
        <v>39129090</v>
      </c>
      <c r="L46" s="3"/>
      <c r="M46" s="3" t="s">
        <v>36</v>
      </c>
      <c r="N46" s="5">
        <f t="shared" si="0"/>
        <v>18</v>
      </c>
    </row>
    <row r="47" spans="1:14" ht="14.4" x14ac:dyDescent="0.3">
      <c r="A47" s="3" t="s">
        <v>219</v>
      </c>
      <c r="B47" s="3" t="s">
        <v>94</v>
      </c>
      <c r="C47" s="3" t="s">
        <v>26</v>
      </c>
      <c r="D47" s="3" t="s">
        <v>95</v>
      </c>
      <c r="E47" s="3" t="s">
        <v>22</v>
      </c>
      <c r="F47" s="3" t="s">
        <v>220</v>
      </c>
      <c r="G47" s="3" t="s">
        <v>3302</v>
      </c>
      <c r="H47" s="7">
        <v>44999</v>
      </c>
      <c r="I47" s="6">
        <v>55441.5</v>
      </c>
      <c r="J47" s="6">
        <v>9979.48</v>
      </c>
      <c r="K47" s="4">
        <v>48192090</v>
      </c>
      <c r="L47" s="3" t="s">
        <v>97</v>
      </c>
      <c r="M47" s="3" t="s">
        <v>36</v>
      </c>
      <c r="N47" s="5">
        <f t="shared" si="0"/>
        <v>18.000018037030024</v>
      </c>
    </row>
    <row r="48" spans="1:14" ht="14.4" x14ac:dyDescent="0.3">
      <c r="A48" s="3" t="s">
        <v>221</v>
      </c>
      <c r="B48" s="3" t="s">
        <v>222</v>
      </c>
      <c r="C48" s="3" t="s">
        <v>223</v>
      </c>
      <c r="D48" s="3" t="s">
        <v>224</v>
      </c>
      <c r="E48" s="3" t="s">
        <v>136</v>
      </c>
      <c r="F48" s="3" t="s">
        <v>225</v>
      </c>
      <c r="G48" s="3" t="s">
        <v>3303</v>
      </c>
      <c r="H48" s="7">
        <v>44998</v>
      </c>
      <c r="I48" s="6">
        <v>72167.100000000006</v>
      </c>
      <c r="J48" s="6">
        <v>12990.1</v>
      </c>
      <c r="K48" s="4">
        <v>76071994</v>
      </c>
      <c r="L48" s="3" t="s">
        <v>226</v>
      </c>
      <c r="M48" s="3" t="s">
        <v>59</v>
      </c>
      <c r="N48" s="5">
        <f t="shared" si="0"/>
        <v>18.0000304848054</v>
      </c>
    </row>
    <row r="49" spans="1:14" ht="14.4" x14ac:dyDescent="0.3">
      <c r="A49" s="3" t="s">
        <v>227</v>
      </c>
      <c r="B49" s="3" t="s">
        <v>182</v>
      </c>
      <c r="C49" s="3" t="s">
        <v>20</v>
      </c>
      <c r="D49" s="3" t="s">
        <v>167</v>
      </c>
      <c r="E49" s="3" t="s">
        <v>22</v>
      </c>
      <c r="F49" s="3" t="s">
        <v>228</v>
      </c>
      <c r="G49" s="3" t="s">
        <v>3304</v>
      </c>
      <c r="H49" s="7">
        <v>44998</v>
      </c>
      <c r="I49" s="6">
        <v>207500</v>
      </c>
      <c r="J49" s="6">
        <v>37350</v>
      </c>
      <c r="K49" s="4">
        <v>39059990</v>
      </c>
      <c r="L49" s="3" t="s">
        <v>229</v>
      </c>
      <c r="M49" s="3" t="s">
        <v>59</v>
      </c>
      <c r="N49" s="5">
        <f t="shared" si="0"/>
        <v>18</v>
      </c>
    </row>
    <row r="50" spans="1:14" ht="14.4" x14ac:dyDescent="0.3">
      <c r="A50" s="3" t="s">
        <v>230</v>
      </c>
      <c r="B50" s="3" t="s">
        <v>231</v>
      </c>
      <c r="C50" s="3" t="s">
        <v>134</v>
      </c>
      <c r="D50" s="3" t="s">
        <v>232</v>
      </c>
      <c r="E50" s="3" t="s">
        <v>22</v>
      </c>
      <c r="F50" s="3" t="s">
        <v>233</v>
      </c>
      <c r="G50" s="3" t="s">
        <v>3305</v>
      </c>
      <c r="H50" s="7">
        <v>44998</v>
      </c>
      <c r="I50" s="6">
        <v>7195500</v>
      </c>
      <c r="J50" s="6">
        <v>1295190</v>
      </c>
      <c r="K50" s="4">
        <v>29419060</v>
      </c>
      <c r="L50" s="3" t="s">
        <v>234</v>
      </c>
      <c r="M50" s="3" t="s">
        <v>235</v>
      </c>
      <c r="N50" s="5">
        <f t="shared" si="0"/>
        <v>18</v>
      </c>
    </row>
    <row r="51" spans="1:14" ht="14.4" x14ac:dyDescent="0.3">
      <c r="A51" s="3" t="s">
        <v>236</v>
      </c>
      <c r="B51" s="3" t="s">
        <v>55</v>
      </c>
      <c r="C51" s="3" t="s">
        <v>56</v>
      </c>
      <c r="D51" s="3" t="s">
        <v>57</v>
      </c>
      <c r="E51" s="3" t="s">
        <v>22</v>
      </c>
      <c r="F51" s="3" t="s">
        <v>237</v>
      </c>
      <c r="G51" s="3" t="s">
        <v>3306</v>
      </c>
      <c r="H51" s="7">
        <v>44995</v>
      </c>
      <c r="I51" s="6">
        <v>148400</v>
      </c>
      <c r="J51" s="6">
        <v>26712</v>
      </c>
      <c r="K51" s="4">
        <v>96020030</v>
      </c>
      <c r="L51" s="3"/>
      <c r="M51" s="3" t="s">
        <v>36</v>
      </c>
      <c r="N51" s="5">
        <f t="shared" si="0"/>
        <v>18</v>
      </c>
    </row>
    <row r="52" spans="1:14" ht="14.4" x14ac:dyDescent="0.3">
      <c r="A52" s="3" t="s">
        <v>238</v>
      </c>
      <c r="B52" s="3" t="s">
        <v>84</v>
      </c>
      <c r="C52" s="3" t="s">
        <v>20</v>
      </c>
      <c r="D52" s="3" t="s">
        <v>239</v>
      </c>
      <c r="E52" s="3" t="s">
        <v>22</v>
      </c>
      <c r="F52" s="3" t="s">
        <v>240</v>
      </c>
      <c r="G52" s="3" t="s">
        <v>3307</v>
      </c>
      <c r="H52" s="7">
        <v>44995</v>
      </c>
      <c r="I52" s="6">
        <v>12050</v>
      </c>
      <c r="J52" s="6">
        <v>2169</v>
      </c>
      <c r="K52" s="4">
        <v>3921</v>
      </c>
      <c r="L52" s="3" t="s">
        <v>118</v>
      </c>
      <c r="M52" s="3"/>
      <c r="N52" s="5">
        <f t="shared" si="0"/>
        <v>18</v>
      </c>
    </row>
    <row r="53" spans="1:14" ht="14.4" x14ac:dyDescent="0.3">
      <c r="A53" s="3" t="s">
        <v>241</v>
      </c>
      <c r="B53" s="3" t="s">
        <v>161</v>
      </c>
      <c r="C53" s="3" t="s">
        <v>56</v>
      </c>
      <c r="D53" s="3" t="s">
        <v>57</v>
      </c>
      <c r="E53" s="3" t="s">
        <v>162</v>
      </c>
      <c r="F53" s="3" t="s">
        <v>242</v>
      </c>
      <c r="G53" s="3" t="s">
        <v>3308</v>
      </c>
      <c r="H53" s="7">
        <v>44994</v>
      </c>
      <c r="I53" s="6">
        <v>1365682.5</v>
      </c>
      <c r="J53" s="6">
        <v>245822.86</v>
      </c>
      <c r="K53" s="4">
        <v>29222933</v>
      </c>
      <c r="L53" s="3" t="s">
        <v>243</v>
      </c>
      <c r="M53" s="3" t="s">
        <v>92</v>
      </c>
      <c r="N53" s="5">
        <f t="shared" si="0"/>
        <v>18.000000732234614</v>
      </c>
    </row>
    <row r="54" spans="1:14" ht="14.4" x14ac:dyDescent="0.3">
      <c r="A54" s="3" t="s">
        <v>244</v>
      </c>
      <c r="B54" s="3" t="s">
        <v>89</v>
      </c>
      <c r="C54" s="3" t="s">
        <v>20</v>
      </c>
      <c r="D54" s="3" t="s">
        <v>50</v>
      </c>
      <c r="E54" s="3" t="s">
        <v>22</v>
      </c>
      <c r="F54" s="3" t="s">
        <v>245</v>
      </c>
      <c r="G54" s="3">
        <v>1375</v>
      </c>
      <c r="H54" s="7">
        <v>44994</v>
      </c>
      <c r="I54" s="6">
        <v>34367.199999999997</v>
      </c>
      <c r="J54" s="6">
        <v>6186.1</v>
      </c>
      <c r="K54" s="4">
        <v>76071994</v>
      </c>
      <c r="L54" s="3" t="s">
        <v>131</v>
      </c>
      <c r="M54" s="3" t="s">
        <v>92</v>
      </c>
      <c r="N54" s="5">
        <f t="shared" si="0"/>
        <v>18.000011639004633</v>
      </c>
    </row>
    <row r="55" spans="1:14" ht="14.4" x14ac:dyDescent="0.3">
      <c r="A55" s="3" t="s">
        <v>246</v>
      </c>
      <c r="B55" s="3" t="s">
        <v>155</v>
      </c>
      <c r="C55" s="3" t="s">
        <v>20</v>
      </c>
      <c r="D55" s="3" t="s">
        <v>156</v>
      </c>
      <c r="E55" s="3" t="s">
        <v>22</v>
      </c>
      <c r="F55" s="3" t="s">
        <v>247</v>
      </c>
      <c r="G55" s="3" t="s">
        <v>3309</v>
      </c>
      <c r="H55" s="7">
        <v>44990</v>
      </c>
      <c r="I55" s="6">
        <v>86630</v>
      </c>
      <c r="J55" s="6">
        <v>15593.4</v>
      </c>
      <c r="K55" s="4">
        <v>48191010</v>
      </c>
      <c r="L55" s="3" t="s">
        <v>248</v>
      </c>
      <c r="M55" s="3" t="s">
        <v>159</v>
      </c>
      <c r="N55" s="5">
        <f t="shared" si="0"/>
        <v>18</v>
      </c>
    </row>
    <row r="56" spans="1:14" ht="14.4" x14ac:dyDescent="0.3">
      <c r="A56" s="3" t="s">
        <v>249</v>
      </c>
      <c r="B56" s="3" t="s">
        <v>84</v>
      </c>
      <c r="C56" s="3" t="s">
        <v>20</v>
      </c>
      <c r="D56" s="3" t="s">
        <v>239</v>
      </c>
      <c r="E56" s="3" t="s">
        <v>22</v>
      </c>
      <c r="F56" s="3" t="s">
        <v>250</v>
      </c>
      <c r="G56" s="3" t="s">
        <v>3276</v>
      </c>
      <c r="H56" s="7">
        <v>44987</v>
      </c>
      <c r="I56" s="6">
        <v>12325</v>
      </c>
      <c r="J56" s="6">
        <v>2218.5</v>
      </c>
      <c r="K56" s="4">
        <v>3921</v>
      </c>
      <c r="L56" s="3" t="s">
        <v>118</v>
      </c>
      <c r="M56" s="3" t="s">
        <v>251</v>
      </c>
      <c r="N56" s="5">
        <f t="shared" si="0"/>
        <v>18</v>
      </c>
    </row>
    <row r="57" spans="1:14" ht="14.4" x14ac:dyDescent="0.3">
      <c r="A57" s="3" t="s">
        <v>252</v>
      </c>
      <c r="B57" s="3" t="s">
        <v>94</v>
      </c>
      <c r="C57" s="3" t="s">
        <v>26</v>
      </c>
      <c r="D57" s="3" t="s">
        <v>95</v>
      </c>
      <c r="E57" s="3" t="s">
        <v>22</v>
      </c>
      <c r="F57" s="3" t="s">
        <v>253</v>
      </c>
      <c r="G57" s="3" t="s">
        <v>3310</v>
      </c>
      <c r="H57" s="7">
        <v>44985</v>
      </c>
      <c r="I57" s="6">
        <v>21290</v>
      </c>
      <c r="J57" s="6">
        <v>3832.2</v>
      </c>
      <c r="K57" s="4">
        <v>48192090</v>
      </c>
      <c r="L57" s="3" t="s">
        <v>97</v>
      </c>
      <c r="M57" s="3" t="s">
        <v>59</v>
      </c>
      <c r="N57" s="5">
        <f t="shared" si="0"/>
        <v>18</v>
      </c>
    </row>
    <row r="58" spans="1:14" ht="14.4" x14ac:dyDescent="0.3">
      <c r="A58" s="3" t="s">
        <v>254</v>
      </c>
      <c r="B58" s="3" t="s">
        <v>94</v>
      </c>
      <c r="C58" s="3" t="s">
        <v>26</v>
      </c>
      <c r="D58" s="3" t="s">
        <v>95</v>
      </c>
      <c r="E58" s="3" t="s">
        <v>22</v>
      </c>
      <c r="F58" s="3" t="s">
        <v>255</v>
      </c>
      <c r="G58" s="3" t="s">
        <v>3311</v>
      </c>
      <c r="H58" s="7">
        <v>45014</v>
      </c>
      <c r="I58" s="6">
        <v>37730.5</v>
      </c>
      <c r="J58" s="6">
        <v>5668.3</v>
      </c>
      <c r="K58" s="4">
        <v>48192090</v>
      </c>
      <c r="L58" s="3" t="s">
        <v>97</v>
      </c>
      <c r="M58" s="3" t="s">
        <v>36</v>
      </c>
      <c r="N58" s="5">
        <f t="shared" si="0"/>
        <v>15.02312452790183</v>
      </c>
    </row>
    <row r="59" spans="1:14" ht="14.4" x14ac:dyDescent="0.3">
      <c r="A59" s="3" t="s">
        <v>256</v>
      </c>
      <c r="B59" s="3" t="s">
        <v>94</v>
      </c>
      <c r="C59" s="3" t="s">
        <v>26</v>
      </c>
      <c r="D59" s="3" t="s">
        <v>95</v>
      </c>
      <c r="E59" s="3" t="s">
        <v>22</v>
      </c>
      <c r="F59" s="3" t="s">
        <v>257</v>
      </c>
      <c r="G59" s="3" t="s">
        <v>3312</v>
      </c>
      <c r="H59" s="7">
        <v>45012</v>
      </c>
      <c r="I59" s="6">
        <v>31211.5</v>
      </c>
      <c r="J59" s="6">
        <v>5618.08</v>
      </c>
      <c r="K59" s="4">
        <v>48192090</v>
      </c>
      <c r="L59" s="3" t="s">
        <v>97</v>
      </c>
      <c r="M59" s="3" t="s">
        <v>36</v>
      </c>
      <c r="N59" s="5">
        <f t="shared" si="0"/>
        <v>18.000032039472629</v>
      </c>
    </row>
    <row r="60" spans="1:14" ht="14.4" x14ac:dyDescent="0.3">
      <c r="A60" s="3" t="s">
        <v>258</v>
      </c>
      <c r="B60" s="3" t="s">
        <v>161</v>
      </c>
      <c r="C60" s="3" t="s">
        <v>56</v>
      </c>
      <c r="D60" s="3" t="s">
        <v>57</v>
      </c>
      <c r="E60" s="3" t="s">
        <v>162</v>
      </c>
      <c r="F60" s="3" t="s">
        <v>259</v>
      </c>
      <c r="G60" s="3" t="s">
        <v>3313</v>
      </c>
      <c r="H60" s="7">
        <v>45015</v>
      </c>
      <c r="I60" s="6">
        <v>77038.5</v>
      </c>
      <c r="J60" s="6">
        <v>13866.94</v>
      </c>
      <c r="K60" s="4">
        <v>29420090</v>
      </c>
      <c r="L60" s="3" t="s">
        <v>260</v>
      </c>
      <c r="M60" s="3" t="s">
        <v>36</v>
      </c>
      <c r="N60" s="5">
        <f t="shared" si="0"/>
        <v>18.000012980522726</v>
      </c>
    </row>
    <row r="61" spans="1:14" ht="14.4" x14ac:dyDescent="0.3">
      <c r="A61" s="3" t="s">
        <v>261</v>
      </c>
      <c r="B61" s="3" t="s">
        <v>84</v>
      </c>
      <c r="C61" s="3" t="s">
        <v>20</v>
      </c>
      <c r="D61" s="3" t="s">
        <v>239</v>
      </c>
      <c r="E61" s="3" t="s">
        <v>22</v>
      </c>
      <c r="F61" s="3" t="s">
        <v>262</v>
      </c>
      <c r="G61" s="3" t="s">
        <v>3314</v>
      </c>
      <c r="H61" s="7">
        <v>45015</v>
      </c>
      <c r="I61" s="6">
        <v>26747.599999999999</v>
      </c>
      <c r="J61" s="6">
        <v>4814.57</v>
      </c>
      <c r="K61" s="4">
        <v>3921</v>
      </c>
      <c r="L61" s="3" t="s">
        <v>118</v>
      </c>
      <c r="M61" s="3"/>
      <c r="N61" s="5">
        <f t="shared" si="0"/>
        <v>18.000007477306376</v>
      </c>
    </row>
    <row r="62" spans="1:14" ht="14.4" x14ac:dyDescent="0.3">
      <c r="A62" s="3" t="s">
        <v>263</v>
      </c>
      <c r="B62" s="3" t="s">
        <v>161</v>
      </c>
      <c r="C62" s="3" t="s">
        <v>56</v>
      </c>
      <c r="D62" s="3" t="s">
        <v>57</v>
      </c>
      <c r="E62" s="3" t="s">
        <v>162</v>
      </c>
      <c r="F62" s="3" t="s">
        <v>264</v>
      </c>
      <c r="G62" s="3" t="s">
        <v>3315</v>
      </c>
      <c r="H62" s="7">
        <v>45012</v>
      </c>
      <c r="I62" s="6">
        <v>333750</v>
      </c>
      <c r="J62" s="6">
        <v>16687.5</v>
      </c>
      <c r="K62" s="4">
        <v>29224990</v>
      </c>
      <c r="L62" s="3" t="s">
        <v>265</v>
      </c>
      <c r="M62" s="3" t="s">
        <v>36</v>
      </c>
      <c r="N62" s="5">
        <f t="shared" si="0"/>
        <v>5</v>
      </c>
    </row>
    <row r="63" spans="1:14" ht="14.4" x14ac:dyDescent="0.3">
      <c r="A63" s="3" t="s">
        <v>266</v>
      </c>
      <c r="B63" s="3" t="s">
        <v>178</v>
      </c>
      <c r="C63" s="3" t="s">
        <v>20</v>
      </c>
      <c r="D63" s="3" t="s">
        <v>50</v>
      </c>
      <c r="E63" s="3" t="s">
        <v>22</v>
      </c>
      <c r="F63" s="3" t="s">
        <v>267</v>
      </c>
      <c r="G63" s="3" t="s">
        <v>3316</v>
      </c>
      <c r="H63" s="7">
        <v>45014</v>
      </c>
      <c r="I63" s="6">
        <v>43532.6</v>
      </c>
      <c r="J63" s="6">
        <v>7835.86</v>
      </c>
      <c r="K63" s="4">
        <v>76071995</v>
      </c>
      <c r="L63" s="3" t="s">
        <v>180</v>
      </c>
      <c r="M63" s="3" t="s">
        <v>36</v>
      </c>
      <c r="N63" s="5">
        <f t="shared" si="0"/>
        <v>17.999981622967617</v>
      </c>
    </row>
    <row r="64" spans="1:14" ht="14.4" x14ac:dyDescent="0.3">
      <c r="A64" s="3" t="s">
        <v>268</v>
      </c>
      <c r="B64" s="3" t="s">
        <v>269</v>
      </c>
      <c r="C64" s="3" t="s">
        <v>270</v>
      </c>
      <c r="D64" s="3" t="s">
        <v>271</v>
      </c>
      <c r="E64" s="3" t="s">
        <v>272</v>
      </c>
      <c r="F64" s="3" t="s">
        <v>273</v>
      </c>
      <c r="G64" s="3">
        <v>2644</v>
      </c>
      <c r="H64" s="7">
        <v>45014</v>
      </c>
      <c r="I64" s="6">
        <v>156540</v>
      </c>
      <c r="J64" s="6">
        <v>28177.200000000001</v>
      </c>
      <c r="K64" s="4">
        <v>48192020</v>
      </c>
      <c r="L64" s="3" t="s">
        <v>274</v>
      </c>
      <c r="M64" s="3" t="s">
        <v>275</v>
      </c>
      <c r="N64" s="5">
        <f t="shared" si="0"/>
        <v>18</v>
      </c>
    </row>
    <row r="65" spans="1:14" ht="14.4" x14ac:dyDescent="0.3">
      <c r="A65" s="3" t="s">
        <v>276</v>
      </c>
      <c r="B65" s="3" t="s">
        <v>277</v>
      </c>
      <c r="C65" s="3" t="s">
        <v>20</v>
      </c>
      <c r="D65" s="3" t="s">
        <v>278</v>
      </c>
      <c r="E65" s="3" t="s">
        <v>22</v>
      </c>
      <c r="F65" s="3" t="s">
        <v>279</v>
      </c>
      <c r="G65" s="3" t="s">
        <v>3317</v>
      </c>
      <c r="H65" s="7">
        <v>44996</v>
      </c>
      <c r="I65" s="6">
        <v>350000</v>
      </c>
      <c r="J65" s="6">
        <v>63000</v>
      </c>
      <c r="K65" s="4">
        <v>29335990</v>
      </c>
      <c r="L65" s="3"/>
      <c r="M65" s="3" t="s">
        <v>280</v>
      </c>
      <c r="N65" s="5">
        <f t="shared" si="0"/>
        <v>18</v>
      </c>
    </row>
    <row r="66" spans="1:14" ht="14.4" x14ac:dyDescent="0.3">
      <c r="A66" s="3" t="s">
        <v>281</v>
      </c>
      <c r="B66" s="3" t="s">
        <v>282</v>
      </c>
      <c r="C66" s="3" t="s">
        <v>283</v>
      </c>
      <c r="D66" s="3" t="s">
        <v>284</v>
      </c>
      <c r="E66" s="3" t="s">
        <v>285</v>
      </c>
      <c r="F66" s="3" t="s">
        <v>286</v>
      </c>
      <c r="G66" s="3" t="s">
        <v>3318</v>
      </c>
      <c r="H66" s="7">
        <v>44998</v>
      </c>
      <c r="I66" s="6">
        <v>682500</v>
      </c>
      <c r="J66" s="6">
        <v>122850</v>
      </c>
      <c r="K66" s="4">
        <v>29339990</v>
      </c>
      <c r="L66" s="3" t="s">
        <v>287</v>
      </c>
      <c r="M66" s="3" t="s">
        <v>288</v>
      </c>
      <c r="N66" s="5">
        <f t="shared" si="0"/>
        <v>18</v>
      </c>
    </row>
    <row r="67" spans="1:14" ht="14.4" x14ac:dyDescent="0.3">
      <c r="A67" s="3" t="s">
        <v>289</v>
      </c>
      <c r="B67" s="3" t="s">
        <v>290</v>
      </c>
      <c r="C67" s="3" t="s">
        <v>291</v>
      </c>
      <c r="D67" s="3" t="s">
        <v>292</v>
      </c>
      <c r="E67" s="3" t="s">
        <v>22</v>
      </c>
      <c r="F67" s="3" t="s">
        <v>293</v>
      </c>
      <c r="G67" s="3">
        <v>226396</v>
      </c>
      <c r="H67" s="7">
        <v>45013</v>
      </c>
      <c r="I67" s="6">
        <v>39769.75</v>
      </c>
      <c r="J67" s="6">
        <v>7158.56</v>
      </c>
      <c r="K67" s="4">
        <v>29309070</v>
      </c>
      <c r="L67" s="3"/>
      <c r="M67" s="3" t="s">
        <v>32</v>
      </c>
      <c r="N67" s="5">
        <f t="shared" ref="N67:N130" si="1">J67*100/I67</f>
        <v>18.000012572369702</v>
      </c>
    </row>
    <row r="68" spans="1:14" ht="14.4" x14ac:dyDescent="0.3">
      <c r="A68" s="3" t="s">
        <v>294</v>
      </c>
      <c r="B68" s="3" t="s">
        <v>295</v>
      </c>
      <c r="C68" s="3" t="s">
        <v>296</v>
      </c>
      <c r="D68" s="3" t="s">
        <v>297</v>
      </c>
      <c r="E68" s="3" t="s">
        <v>298</v>
      </c>
      <c r="F68" s="3" t="s">
        <v>299</v>
      </c>
      <c r="G68" s="3" t="s">
        <v>3319</v>
      </c>
      <c r="H68" s="7">
        <v>45014</v>
      </c>
      <c r="I68" s="6">
        <v>1470000</v>
      </c>
      <c r="J68" s="6">
        <v>264600</v>
      </c>
      <c r="K68" s="4">
        <v>29411030</v>
      </c>
      <c r="L68" s="3" t="s">
        <v>300</v>
      </c>
      <c r="M68" s="3" t="s">
        <v>301</v>
      </c>
      <c r="N68" s="5">
        <f t="shared" si="1"/>
        <v>18</v>
      </c>
    </row>
    <row r="69" spans="1:14" ht="14.4" x14ac:dyDescent="0.3">
      <c r="A69" s="3" t="s">
        <v>302</v>
      </c>
      <c r="B69" s="3" t="s">
        <v>303</v>
      </c>
      <c r="C69" s="3" t="s">
        <v>304</v>
      </c>
      <c r="D69" s="3" t="s">
        <v>305</v>
      </c>
      <c r="E69" s="3" t="s">
        <v>15</v>
      </c>
      <c r="F69" s="3" t="s">
        <v>306</v>
      </c>
      <c r="G69" s="3" t="s">
        <v>3320</v>
      </c>
      <c r="H69" s="7">
        <v>45013</v>
      </c>
      <c r="I69" s="6">
        <v>1612500</v>
      </c>
      <c r="J69" s="6">
        <v>290250</v>
      </c>
      <c r="K69" s="4">
        <v>29419090</v>
      </c>
      <c r="L69" s="3" t="s">
        <v>307</v>
      </c>
      <c r="M69" s="3" t="s">
        <v>32</v>
      </c>
      <c r="N69" s="5">
        <f t="shared" si="1"/>
        <v>18</v>
      </c>
    </row>
    <row r="70" spans="1:14" ht="14.4" x14ac:dyDescent="0.3">
      <c r="A70" s="3" t="s">
        <v>308</v>
      </c>
      <c r="B70" s="3" t="s">
        <v>309</v>
      </c>
      <c r="C70" s="3" t="s">
        <v>310</v>
      </c>
      <c r="D70" s="3" t="s">
        <v>311</v>
      </c>
      <c r="E70" s="3" t="s">
        <v>80</v>
      </c>
      <c r="F70" s="3" t="s">
        <v>312</v>
      </c>
      <c r="G70" s="3" t="s">
        <v>3321</v>
      </c>
      <c r="H70" s="7">
        <v>45009</v>
      </c>
      <c r="I70" s="6">
        <v>150000</v>
      </c>
      <c r="J70" s="6">
        <v>27000</v>
      </c>
      <c r="K70" s="4">
        <v>29335990</v>
      </c>
      <c r="L70" s="3" t="s">
        <v>313</v>
      </c>
      <c r="M70" s="3"/>
      <c r="N70" s="5">
        <f t="shared" si="1"/>
        <v>18</v>
      </c>
    </row>
    <row r="71" spans="1:14" ht="14.4" x14ac:dyDescent="0.3">
      <c r="A71" s="3" t="s">
        <v>314</v>
      </c>
      <c r="B71" s="3" t="s">
        <v>315</v>
      </c>
      <c r="C71" s="3" t="s">
        <v>316</v>
      </c>
      <c r="D71" s="3" t="s">
        <v>292</v>
      </c>
      <c r="E71" s="3" t="s">
        <v>317</v>
      </c>
      <c r="F71" s="3" t="s">
        <v>318</v>
      </c>
      <c r="G71" s="3" t="s">
        <v>3322</v>
      </c>
      <c r="H71" s="7">
        <v>45006</v>
      </c>
      <c r="I71" s="6">
        <v>122250</v>
      </c>
      <c r="J71" s="6">
        <v>22005</v>
      </c>
      <c r="K71" s="4">
        <v>29334900</v>
      </c>
      <c r="L71" s="3"/>
      <c r="M71" s="3" t="s">
        <v>319</v>
      </c>
      <c r="N71" s="5">
        <f t="shared" si="1"/>
        <v>18</v>
      </c>
    </row>
    <row r="72" spans="1:14" ht="14.4" x14ac:dyDescent="0.3">
      <c r="A72" s="3" t="s">
        <v>320</v>
      </c>
      <c r="B72" s="3" t="s">
        <v>321</v>
      </c>
      <c r="C72" s="3" t="s">
        <v>20</v>
      </c>
      <c r="D72" s="3" t="s">
        <v>292</v>
      </c>
      <c r="E72" s="3" t="s">
        <v>22</v>
      </c>
      <c r="F72" s="3" t="s">
        <v>322</v>
      </c>
      <c r="G72" s="3">
        <v>1049</v>
      </c>
      <c r="H72" s="7">
        <v>45003</v>
      </c>
      <c r="I72" s="6">
        <v>59297</v>
      </c>
      <c r="J72" s="6">
        <v>10673</v>
      </c>
      <c r="K72" s="4">
        <v>29420090</v>
      </c>
      <c r="L72" s="3"/>
      <c r="M72" s="3" t="s">
        <v>323</v>
      </c>
      <c r="N72" s="5">
        <f t="shared" si="1"/>
        <v>17.999224244059565</v>
      </c>
    </row>
    <row r="73" spans="1:14" ht="14.4" x14ac:dyDescent="0.3">
      <c r="A73" s="3" t="s">
        <v>324</v>
      </c>
      <c r="B73" s="3" t="s">
        <v>325</v>
      </c>
      <c r="C73" s="3" t="s">
        <v>134</v>
      </c>
      <c r="D73" s="3" t="s">
        <v>326</v>
      </c>
      <c r="E73" s="3" t="s">
        <v>80</v>
      </c>
      <c r="F73" s="3" t="s">
        <v>327</v>
      </c>
      <c r="G73" s="3">
        <v>3640</v>
      </c>
      <c r="H73" s="7">
        <v>45003</v>
      </c>
      <c r="I73" s="6">
        <v>310155</v>
      </c>
      <c r="J73" s="6">
        <v>55828</v>
      </c>
      <c r="K73" s="4">
        <v>29189990</v>
      </c>
      <c r="L73" s="3" t="s">
        <v>328</v>
      </c>
      <c r="M73" s="3" t="s">
        <v>32</v>
      </c>
      <c r="N73" s="5">
        <f t="shared" si="1"/>
        <v>18.000032241943543</v>
      </c>
    </row>
    <row r="74" spans="1:14" ht="14.4" x14ac:dyDescent="0.3">
      <c r="A74" s="3" t="s">
        <v>329</v>
      </c>
      <c r="B74" s="3" t="s">
        <v>330</v>
      </c>
      <c r="C74" s="3" t="s">
        <v>331</v>
      </c>
      <c r="D74" s="3" t="s">
        <v>292</v>
      </c>
      <c r="E74" s="3" t="s">
        <v>332</v>
      </c>
      <c r="F74" s="3" t="s">
        <v>333</v>
      </c>
      <c r="G74" s="3" t="s">
        <v>3323</v>
      </c>
      <c r="H74" s="7">
        <v>45003</v>
      </c>
      <c r="I74" s="6">
        <v>14750</v>
      </c>
      <c r="J74" s="6">
        <v>2655</v>
      </c>
      <c r="K74" s="4">
        <v>293339</v>
      </c>
      <c r="L74" s="3" t="s">
        <v>334</v>
      </c>
      <c r="M74" s="3" t="s">
        <v>32</v>
      </c>
      <c r="N74" s="5">
        <f t="shared" si="1"/>
        <v>18</v>
      </c>
    </row>
    <row r="75" spans="1:14" ht="14.4" x14ac:dyDescent="0.3">
      <c r="A75" s="3" t="s">
        <v>335</v>
      </c>
      <c r="B75" s="3" t="s">
        <v>336</v>
      </c>
      <c r="C75" s="3" t="s">
        <v>134</v>
      </c>
      <c r="D75" s="3" t="s">
        <v>292</v>
      </c>
      <c r="E75" s="3" t="s">
        <v>188</v>
      </c>
      <c r="F75" s="3" t="s">
        <v>337</v>
      </c>
      <c r="G75" s="3">
        <v>4444</v>
      </c>
      <c r="H75" s="7">
        <v>45003</v>
      </c>
      <c r="I75" s="6">
        <v>73574</v>
      </c>
      <c r="J75" s="6">
        <v>13243.32</v>
      </c>
      <c r="K75" s="4">
        <v>29335990</v>
      </c>
      <c r="L75" s="3" t="s">
        <v>338</v>
      </c>
      <c r="M75" s="3" t="s">
        <v>32</v>
      </c>
      <c r="N75" s="5">
        <f t="shared" si="1"/>
        <v>18</v>
      </c>
    </row>
    <row r="76" spans="1:14" ht="14.4" x14ac:dyDescent="0.3">
      <c r="A76" s="3" t="s">
        <v>339</v>
      </c>
      <c r="B76" s="3" t="s">
        <v>340</v>
      </c>
      <c r="C76" s="3" t="s">
        <v>20</v>
      </c>
      <c r="D76" s="3" t="s">
        <v>341</v>
      </c>
      <c r="E76" s="3" t="s">
        <v>22</v>
      </c>
      <c r="F76" s="3" t="s">
        <v>342</v>
      </c>
      <c r="G76" s="3" t="s">
        <v>3324</v>
      </c>
      <c r="H76" s="7">
        <v>45002</v>
      </c>
      <c r="I76" s="6">
        <v>47651</v>
      </c>
      <c r="J76" s="6">
        <v>5718.12</v>
      </c>
      <c r="K76" s="4">
        <v>30049099</v>
      </c>
      <c r="L76" s="3"/>
      <c r="M76" s="3" t="s">
        <v>343</v>
      </c>
      <c r="N76" s="5">
        <f t="shared" si="1"/>
        <v>12</v>
      </c>
    </row>
    <row r="77" spans="1:14" ht="14.4" x14ac:dyDescent="0.3">
      <c r="A77" s="3" t="s">
        <v>344</v>
      </c>
      <c r="B77" s="3" t="s">
        <v>345</v>
      </c>
      <c r="C77" s="3" t="s">
        <v>346</v>
      </c>
      <c r="D77" s="3" t="s">
        <v>347</v>
      </c>
      <c r="E77" s="3" t="s">
        <v>348</v>
      </c>
      <c r="F77" s="3" t="s">
        <v>349</v>
      </c>
      <c r="G77" s="3">
        <v>2391</v>
      </c>
      <c r="H77" s="7">
        <v>45000</v>
      </c>
      <c r="I77" s="6">
        <v>31824.41</v>
      </c>
      <c r="J77" s="6">
        <v>5728</v>
      </c>
      <c r="K77" s="4">
        <v>29211990</v>
      </c>
      <c r="L77" s="3"/>
      <c r="M77" s="3" t="s">
        <v>280</v>
      </c>
      <c r="N77" s="5">
        <f t="shared" si="1"/>
        <v>17.998762585072278</v>
      </c>
    </row>
    <row r="78" spans="1:14" ht="14.4" x14ac:dyDescent="0.3">
      <c r="A78" s="3" t="s">
        <v>350</v>
      </c>
      <c r="B78" s="3" t="s">
        <v>351</v>
      </c>
      <c r="C78" s="3" t="s">
        <v>20</v>
      </c>
      <c r="D78" s="3" t="s">
        <v>352</v>
      </c>
      <c r="E78" s="3" t="s">
        <v>353</v>
      </c>
      <c r="F78" s="3" t="s">
        <v>354</v>
      </c>
      <c r="G78" s="3">
        <v>986</v>
      </c>
      <c r="H78" s="7">
        <v>44998</v>
      </c>
      <c r="I78" s="6">
        <v>337669</v>
      </c>
      <c r="J78" s="6">
        <v>16883.45</v>
      </c>
      <c r="K78" s="4">
        <v>30049099</v>
      </c>
      <c r="L78" s="3" t="s">
        <v>355</v>
      </c>
      <c r="M78" s="3" t="s">
        <v>280</v>
      </c>
      <c r="N78" s="5">
        <f t="shared" si="1"/>
        <v>5</v>
      </c>
    </row>
    <row r="79" spans="1:14" ht="14.4" x14ac:dyDescent="0.3">
      <c r="A79" s="3" t="s">
        <v>356</v>
      </c>
      <c r="B79" s="3" t="s">
        <v>315</v>
      </c>
      <c r="C79" s="3" t="s">
        <v>316</v>
      </c>
      <c r="D79" s="3" t="s">
        <v>292</v>
      </c>
      <c r="E79" s="3" t="s">
        <v>317</v>
      </c>
      <c r="F79" s="3" t="s">
        <v>357</v>
      </c>
      <c r="G79" s="3" t="s">
        <v>3325</v>
      </c>
      <c r="H79" s="7">
        <v>44998</v>
      </c>
      <c r="I79" s="6">
        <v>161000</v>
      </c>
      <c r="J79" s="6">
        <v>28980</v>
      </c>
      <c r="K79" s="4">
        <v>29339900</v>
      </c>
      <c r="L79" s="3"/>
      <c r="M79" s="3" t="s">
        <v>358</v>
      </c>
      <c r="N79" s="5">
        <f t="shared" si="1"/>
        <v>18</v>
      </c>
    </row>
    <row r="80" spans="1:14" ht="14.4" x14ac:dyDescent="0.3">
      <c r="A80" s="3" t="s">
        <v>359</v>
      </c>
      <c r="B80" s="3" t="s">
        <v>315</v>
      </c>
      <c r="C80" s="3" t="s">
        <v>316</v>
      </c>
      <c r="D80" s="3" t="s">
        <v>292</v>
      </c>
      <c r="E80" s="3" t="s">
        <v>317</v>
      </c>
      <c r="F80" s="3" t="s">
        <v>360</v>
      </c>
      <c r="G80" s="3" t="s">
        <v>3326</v>
      </c>
      <c r="H80" s="7">
        <v>44995</v>
      </c>
      <c r="I80" s="6">
        <v>2610000</v>
      </c>
      <c r="J80" s="6">
        <v>469800</v>
      </c>
      <c r="K80" s="4">
        <v>29332910</v>
      </c>
      <c r="L80" s="3"/>
      <c r="M80" s="3" t="s">
        <v>361</v>
      </c>
      <c r="N80" s="5">
        <f t="shared" si="1"/>
        <v>18</v>
      </c>
    </row>
    <row r="81" spans="1:14" ht="14.4" x14ac:dyDescent="0.3">
      <c r="A81" s="3" t="s">
        <v>362</v>
      </c>
      <c r="B81" s="3" t="s">
        <v>363</v>
      </c>
      <c r="C81" s="3" t="s">
        <v>20</v>
      </c>
      <c r="D81" s="3" t="s">
        <v>292</v>
      </c>
      <c r="E81" s="3" t="s">
        <v>353</v>
      </c>
      <c r="F81" s="3" t="s">
        <v>364</v>
      </c>
      <c r="G81" s="3" t="s">
        <v>3327</v>
      </c>
      <c r="H81" s="7">
        <v>44991</v>
      </c>
      <c r="I81" s="6">
        <v>46316.27</v>
      </c>
      <c r="J81" s="6">
        <v>8336.93</v>
      </c>
      <c r="K81" s="4">
        <v>29332990</v>
      </c>
      <c r="L81" s="3" t="s">
        <v>365</v>
      </c>
      <c r="M81" s="3" t="s">
        <v>32</v>
      </c>
      <c r="N81" s="5">
        <f t="shared" si="1"/>
        <v>18.000003022695914</v>
      </c>
    </row>
    <row r="82" spans="1:14" ht="14.4" x14ac:dyDescent="0.3">
      <c r="A82" s="3" t="s">
        <v>366</v>
      </c>
      <c r="B82" s="3" t="s">
        <v>315</v>
      </c>
      <c r="C82" s="3" t="s">
        <v>316</v>
      </c>
      <c r="D82" s="3" t="s">
        <v>292</v>
      </c>
      <c r="E82" s="3" t="s">
        <v>317</v>
      </c>
      <c r="F82" s="3" t="s">
        <v>367</v>
      </c>
      <c r="G82" s="3" t="s">
        <v>3328</v>
      </c>
      <c r="H82" s="7">
        <v>44991</v>
      </c>
      <c r="I82" s="6">
        <v>246750</v>
      </c>
      <c r="J82" s="6">
        <v>44415</v>
      </c>
      <c r="K82" s="4">
        <v>29225090</v>
      </c>
      <c r="L82" s="3"/>
      <c r="M82" s="3" t="s">
        <v>53</v>
      </c>
      <c r="N82" s="5">
        <f t="shared" si="1"/>
        <v>18</v>
      </c>
    </row>
    <row r="83" spans="1:14" ht="14.4" x14ac:dyDescent="0.3">
      <c r="A83" s="3" t="s">
        <v>368</v>
      </c>
      <c r="B83" s="3" t="s">
        <v>277</v>
      </c>
      <c r="C83" s="3" t="s">
        <v>20</v>
      </c>
      <c r="D83" s="3" t="s">
        <v>278</v>
      </c>
      <c r="E83" s="3" t="s">
        <v>22</v>
      </c>
      <c r="F83" s="3" t="s">
        <v>369</v>
      </c>
      <c r="G83" s="3" t="s">
        <v>3329</v>
      </c>
      <c r="H83" s="7">
        <v>44991</v>
      </c>
      <c r="I83" s="6">
        <v>175000</v>
      </c>
      <c r="J83" s="6">
        <v>31500</v>
      </c>
      <c r="K83" s="4">
        <v>29335990</v>
      </c>
      <c r="L83" s="3"/>
      <c r="M83" s="3" t="s">
        <v>32</v>
      </c>
      <c r="N83" s="5">
        <f t="shared" si="1"/>
        <v>18</v>
      </c>
    </row>
    <row r="84" spans="1:14" ht="14.4" x14ac:dyDescent="0.3">
      <c r="A84" s="3" t="s">
        <v>370</v>
      </c>
      <c r="B84" s="3" t="s">
        <v>371</v>
      </c>
      <c r="C84" s="3" t="s">
        <v>134</v>
      </c>
      <c r="D84" s="3" t="s">
        <v>372</v>
      </c>
      <c r="E84" s="3" t="s">
        <v>80</v>
      </c>
      <c r="F84" s="3" t="s">
        <v>373</v>
      </c>
      <c r="G84" s="3">
        <v>110067</v>
      </c>
      <c r="H84" s="7">
        <v>44987</v>
      </c>
      <c r="I84" s="6">
        <v>235250</v>
      </c>
      <c r="J84" s="6">
        <v>42345</v>
      </c>
      <c r="K84" s="4">
        <v>39123922</v>
      </c>
      <c r="L84" s="3"/>
      <c r="M84" s="3" t="s">
        <v>98</v>
      </c>
      <c r="N84" s="5">
        <f t="shared" si="1"/>
        <v>18</v>
      </c>
    </row>
    <row r="85" spans="1:14" ht="14.4" x14ac:dyDescent="0.3">
      <c r="A85" s="3" t="s">
        <v>374</v>
      </c>
      <c r="B85" s="3" t="s">
        <v>375</v>
      </c>
      <c r="C85" s="3" t="s">
        <v>376</v>
      </c>
      <c r="D85" s="3" t="s">
        <v>377</v>
      </c>
      <c r="E85" s="3" t="s">
        <v>378</v>
      </c>
      <c r="F85" s="3" t="s">
        <v>379</v>
      </c>
      <c r="G85" s="3" t="s">
        <v>3330</v>
      </c>
      <c r="H85" s="7">
        <v>45014</v>
      </c>
      <c r="I85" s="6">
        <v>242625</v>
      </c>
      <c r="J85" s="6">
        <v>12131.25</v>
      </c>
      <c r="K85" s="4">
        <v>29181990</v>
      </c>
      <c r="L85" s="3" t="s">
        <v>380</v>
      </c>
      <c r="M85" s="3" t="s">
        <v>32</v>
      </c>
      <c r="N85" s="5">
        <f t="shared" si="1"/>
        <v>5</v>
      </c>
    </row>
    <row r="86" spans="1:14" ht="14.4" x14ac:dyDescent="0.3">
      <c r="A86" s="3" t="s">
        <v>381</v>
      </c>
      <c r="B86" s="3" t="s">
        <v>382</v>
      </c>
      <c r="C86" s="3" t="s">
        <v>20</v>
      </c>
      <c r="D86" s="3" t="s">
        <v>383</v>
      </c>
      <c r="E86" s="3" t="s">
        <v>22</v>
      </c>
      <c r="F86" s="3" t="s">
        <v>384</v>
      </c>
      <c r="G86" s="3">
        <v>11100510</v>
      </c>
      <c r="H86" s="7">
        <v>45003</v>
      </c>
      <c r="I86" s="6">
        <v>350000</v>
      </c>
      <c r="J86" s="6">
        <v>42000</v>
      </c>
      <c r="K86" s="4">
        <v>30024910</v>
      </c>
      <c r="L86" s="3" t="s">
        <v>385</v>
      </c>
      <c r="M86" s="3" t="s">
        <v>386</v>
      </c>
      <c r="N86" s="5">
        <f t="shared" si="1"/>
        <v>12</v>
      </c>
    </row>
    <row r="87" spans="1:14" ht="14.4" x14ac:dyDescent="0.3">
      <c r="A87" s="3" t="s">
        <v>387</v>
      </c>
      <c r="B87" s="3" t="s">
        <v>382</v>
      </c>
      <c r="C87" s="3" t="s">
        <v>20</v>
      </c>
      <c r="D87" s="3" t="s">
        <v>388</v>
      </c>
      <c r="E87" s="3" t="s">
        <v>389</v>
      </c>
      <c r="F87" s="3" t="s">
        <v>390</v>
      </c>
      <c r="G87" s="3">
        <v>11100497</v>
      </c>
      <c r="H87" s="7">
        <v>44998</v>
      </c>
      <c r="I87" s="6">
        <v>50000</v>
      </c>
      <c r="J87" s="6">
        <v>6000</v>
      </c>
      <c r="K87" s="4">
        <v>30024910</v>
      </c>
      <c r="L87" s="3" t="s">
        <v>391</v>
      </c>
      <c r="M87" s="3" t="s">
        <v>392</v>
      </c>
      <c r="N87" s="5">
        <f t="shared" si="1"/>
        <v>12</v>
      </c>
    </row>
    <row r="88" spans="1:14" ht="14.4" x14ac:dyDescent="0.3">
      <c r="A88" s="3" t="s">
        <v>393</v>
      </c>
      <c r="B88" s="3" t="s">
        <v>394</v>
      </c>
      <c r="C88" s="3" t="s">
        <v>26</v>
      </c>
      <c r="D88" s="3" t="s">
        <v>395</v>
      </c>
      <c r="E88" s="3" t="s">
        <v>396</v>
      </c>
      <c r="F88" s="3" t="s">
        <v>397</v>
      </c>
      <c r="G88" s="3" t="s">
        <v>3331</v>
      </c>
      <c r="H88" s="7">
        <v>44681</v>
      </c>
      <c r="I88" s="6">
        <v>107044.35</v>
      </c>
      <c r="J88" s="6">
        <v>19267.98</v>
      </c>
      <c r="K88" s="4">
        <v>48192090</v>
      </c>
      <c r="L88" s="3" t="s">
        <v>97</v>
      </c>
      <c r="M88" s="3" t="s">
        <v>36</v>
      </c>
      <c r="N88" s="5">
        <f t="shared" si="1"/>
        <v>17.999997197423308</v>
      </c>
    </row>
    <row r="89" spans="1:14" ht="14.4" x14ac:dyDescent="0.3">
      <c r="A89" s="3" t="s">
        <v>398</v>
      </c>
      <c r="B89" s="3" t="s">
        <v>399</v>
      </c>
      <c r="C89" s="3" t="s">
        <v>310</v>
      </c>
      <c r="D89" s="3" t="s">
        <v>39</v>
      </c>
      <c r="E89" s="3" t="s">
        <v>136</v>
      </c>
      <c r="F89" s="3" t="s">
        <v>400</v>
      </c>
      <c r="G89" s="3" t="s">
        <v>3332</v>
      </c>
      <c r="H89" s="7">
        <v>44680</v>
      </c>
      <c r="I89" s="6">
        <v>37019</v>
      </c>
      <c r="J89" s="6">
        <v>6663.42</v>
      </c>
      <c r="K89" s="4">
        <v>29362800</v>
      </c>
      <c r="L89" s="3" t="s">
        <v>401</v>
      </c>
      <c r="M89" s="3" t="s">
        <v>402</v>
      </c>
      <c r="N89" s="5">
        <f t="shared" si="1"/>
        <v>18</v>
      </c>
    </row>
    <row r="90" spans="1:14" ht="14.4" x14ac:dyDescent="0.3">
      <c r="A90" s="3" t="s">
        <v>403</v>
      </c>
      <c r="B90" s="3" t="s">
        <v>394</v>
      </c>
      <c r="C90" s="3" t="s">
        <v>26</v>
      </c>
      <c r="D90" s="3" t="s">
        <v>395</v>
      </c>
      <c r="E90" s="3" t="s">
        <v>396</v>
      </c>
      <c r="F90" s="3" t="s">
        <v>404</v>
      </c>
      <c r="G90" s="3" t="s">
        <v>3333</v>
      </c>
      <c r="H90" s="7">
        <v>44679</v>
      </c>
      <c r="I90" s="6">
        <v>142652.25</v>
      </c>
      <c r="J90" s="6">
        <v>25677.4</v>
      </c>
      <c r="K90" s="4">
        <v>48192090</v>
      </c>
      <c r="L90" s="3" t="s">
        <v>97</v>
      </c>
      <c r="M90" s="3" t="s">
        <v>36</v>
      </c>
      <c r="N90" s="5">
        <f t="shared" si="1"/>
        <v>17.999996494972915</v>
      </c>
    </row>
    <row r="91" spans="1:14" ht="14.4" x14ac:dyDescent="0.3">
      <c r="A91" s="3" t="s">
        <v>405</v>
      </c>
      <c r="B91" s="3" t="s">
        <v>186</v>
      </c>
      <c r="C91" s="3" t="s">
        <v>187</v>
      </c>
      <c r="D91" s="3" t="s">
        <v>39</v>
      </c>
      <c r="E91" s="3" t="s">
        <v>188</v>
      </c>
      <c r="F91" s="3" t="s">
        <v>406</v>
      </c>
      <c r="G91" s="3" t="s">
        <v>3334</v>
      </c>
      <c r="H91" s="7">
        <v>44679</v>
      </c>
      <c r="I91" s="6">
        <v>142365.35999999999</v>
      </c>
      <c r="J91" s="6">
        <v>25625.759999999998</v>
      </c>
      <c r="K91" s="4">
        <v>39233090</v>
      </c>
      <c r="L91" s="3" t="s">
        <v>407</v>
      </c>
      <c r="M91" s="3" t="s">
        <v>195</v>
      </c>
      <c r="N91" s="5">
        <f t="shared" si="1"/>
        <v>17.999996628393312</v>
      </c>
    </row>
    <row r="92" spans="1:14" ht="14.4" x14ac:dyDescent="0.3">
      <c r="A92" s="3" t="s">
        <v>408</v>
      </c>
      <c r="B92" s="3" t="s">
        <v>409</v>
      </c>
      <c r="C92" s="3" t="s">
        <v>20</v>
      </c>
      <c r="D92" s="3" t="s">
        <v>410</v>
      </c>
      <c r="E92" s="3" t="s">
        <v>22</v>
      </c>
      <c r="F92" s="3" t="s">
        <v>411</v>
      </c>
      <c r="G92" s="3">
        <v>140</v>
      </c>
      <c r="H92" s="7">
        <v>44677</v>
      </c>
      <c r="I92" s="6">
        <v>60000</v>
      </c>
      <c r="J92" s="6">
        <v>10800</v>
      </c>
      <c r="K92" s="4">
        <v>32050000</v>
      </c>
      <c r="L92" s="3" t="s">
        <v>412</v>
      </c>
      <c r="M92" s="3" t="s">
        <v>413</v>
      </c>
      <c r="N92" s="5">
        <f t="shared" si="1"/>
        <v>18</v>
      </c>
    </row>
    <row r="93" spans="1:14" ht="14.4" x14ac:dyDescent="0.3">
      <c r="A93" s="3" t="s">
        <v>414</v>
      </c>
      <c r="B93" s="3" t="s">
        <v>394</v>
      </c>
      <c r="C93" s="3" t="s">
        <v>26</v>
      </c>
      <c r="D93" s="3" t="s">
        <v>395</v>
      </c>
      <c r="E93" s="3" t="s">
        <v>396</v>
      </c>
      <c r="F93" s="3" t="s">
        <v>415</v>
      </c>
      <c r="G93" s="3" t="s">
        <v>3335</v>
      </c>
      <c r="H93" s="7">
        <v>44676</v>
      </c>
      <c r="I93" s="6">
        <v>39045</v>
      </c>
      <c r="J93" s="6">
        <v>7028.12</v>
      </c>
      <c r="K93" s="4">
        <v>48192090</v>
      </c>
      <c r="L93" s="3" t="s">
        <v>97</v>
      </c>
      <c r="M93" s="3" t="s">
        <v>92</v>
      </c>
      <c r="N93" s="5">
        <f t="shared" si="1"/>
        <v>18.000051222947882</v>
      </c>
    </row>
    <row r="94" spans="1:14" ht="14.4" x14ac:dyDescent="0.3">
      <c r="A94" s="3" t="s">
        <v>416</v>
      </c>
      <c r="B94" s="3" t="s">
        <v>89</v>
      </c>
      <c r="C94" s="3" t="s">
        <v>20</v>
      </c>
      <c r="D94" s="3" t="s">
        <v>50</v>
      </c>
      <c r="E94" s="3" t="s">
        <v>22</v>
      </c>
      <c r="F94" s="3" t="s">
        <v>417</v>
      </c>
      <c r="G94" s="3">
        <v>80</v>
      </c>
      <c r="H94" s="7">
        <v>44674</v>
      </c>
      <c r="I94" s="6">
        <v>19000</v>
      </c>
      <c r="J94" s="6">
        <v>3420</v>
      </c>
      <c r="K94" s="4">
        <v>84425010</v>
      </c>
      <c r="L94" s="3" t="s">
        <v>418</v>
      </c>
      <c r="M94" s="3" t="s">
        <v>107</v>
      </c>
      <c r="N94" s="5">
        <f t="shared" si="1"/>
        <v>18</v>
      </c>
    </row>
    <row r="95" spans="1:14" ht="14.4" x14ac:dyDescent="0.3">
      <c r="A95" s="3" t="s">
        <v>419</v>
      </c>
      <c r="B95" s="3" t="s">
        <v>89</v>
      </c>
      <c r="C95" s="3" t="s">
        <v>20</v>
      </c>
      <c r="D95" s="3" t="s">
        <v>50</v>
      </c>
      <c r="E95" s="3" t="s">
        <v>22</v>
      </c>
      <c r="F95" s="3" t="s">
        <v>420</v>
      </c>
      <c r="G95" s="3">
        <v>79</v>
      </c>
      <c r="H95" s="7">
        <v>44674</v>
      </c>
      <c r="I95" s="6">
        <v>75702</v>
      </c>
      <c r="J95" s="6">
        <v>13626.36</v>
      </c>
      <c r="K95" s="4">
        <v>76071994</v>
      </c>
      <c r="L95" s="3" t="s">
        <v>421</v>
      </c>
      <c r="M95" s="3" t="s">
        <v>107</v>
      </c>
      <c r="N95" s="5">
        <f t="shared" si="1"/>
        <v>18</v>
      </c>
    </row>
    <row r="96" spans="1:14" ht="14.4" x14ac:dyDescent="0.3">
      <c r="A96" s="3" t="s">
        <v>422</v>
      </c>
      <c r="B96" s="3" t="s">
        <v>423</v>
      </c>
      <c r="C96" s="3" t="s">
        <v>20</v>
      </c>
      <c r="D96" s="3" t="s">
        <v>50</v>
      </c>
      <c r="E96" s="3" t="s">
        <v>22</v>
      </c>
      <c r="F96" s="3" t="s">
        <v>424</v>
      </c>
      <c r="G96" s="3">
        <v>80</v>
      </c>
      <c r="H96" s="7">
        <v>44672</v>
      </c>
      <c r="I96" s="6">
        <v>195090</v>
      </c>
      <c r="J96" s="6">
        <v>35116.199999999997</v>
      </c>
      <c r="K96" s="4">
        <v>39219023</v>
      </c>
      <c r="L96" s="3" t="s">
        <v>425</v>
      </c>
      <c r="M96" s="3" t="s">
        <v>92</v>
      </c>
      <c r="N96" s="5">
        <f t="shared" si="1"/>
        <v>17.999999999999996</v>
      </c>
    </row>
    <row r="97" spans="1:14" ht="14.4" x14ac:dyDescent="0.3">
      <c r="A97" s="3" t="s">
        <v>426</v>
      </c>
      <c r="B97" s="3" t="s">
        <v>182</v>
      </c>
      <c r="C97" s="3" t="s">
        <v>20</v>
      </c>
      <c r="D97" s="3" t="s">
        <v>167</v>
      </c>
      <c r="E97" s="3" t="s">
        <v>22</v>
      </c>
      <c r="F97" s="3" t="s">
        <v>427</v>
      </c>
      <c r="G97" s="3" t="s">
        <v>3336</v>
      </c>
      <c r="H97" s="7">
        <v>44672</v>
      </c>
      <c r="I97" s="6">
        <v>192000</v>
      </c>
      <c r="J97" s="6">
        <v>34560</v>
      </c>
      <c r="K97" s="4">
        <v>39059990</v>
      </c>
      <c r="L97" s="3" t="s">
        <v>428</v>
      </c>
      <c r="M97" s="3" t="s">
        <v>92</v>
      </c>
      <c r="N97" s="5">
        <f t="shared" si="1"/>
        <v>18</v>
      </c>
    </row>
    <row r="98" spans="1:14" ht="14.4" x14ac:dyDescent="0.3">
      <c r="A98" s="3" t="s">
        <v>429</v>
      </c>
      <c r="B98" s="3" t="s">
        <v>84</v>
      </c>
      <c r="C98" s="3" t="s">
        <v>20</v>
      </c>
      <c r="D98" s="3" t="s">
        <v>239</v>
      </c>
      <c r="E98" s="3" t="s">
        <v>22</v>
      </c>
      <c r="F98" s="3" t="s">
        <v>430</v>
      </c>
      <c r="G98" s="3" t="s">
        <v>3337</v>
      </c>
      <c r="H98" s="7">
        <v>44672</v>
      </c>
      <c r="I98" s="6">
        <v>127080.4</v>
      </c>
      <c r="J98" s="6">
        <v>22874.47</v>
      </c>
      <c r="K98" s="4">
        <v>3921</v>
      </c>
      <c r="L98" s="3" t="s">
        <v>118</v>
      </c>
      <c r="M98" s="3" t="s">
        <v>431</v>
      </c>
      <c r="N98" s="5">
        <f t="shared" si="1"/>
        <v>17.999998426193184</v>
      </c>
    </row>
    <row r="99" spans="1:14" ht="14.4" x14ac:dyDescent="0.3">
      <c r="A99" s="3" t="s">
        <v>432</v>
      </c>
      <c r="B99" s="3" t="s">
        <v>433</v>
      </c>
      <c r="C99" s="3" t="s">
        <v>20</v>
      </c>
      <c r="D99" s="3" t="s">
        <v>156</v>
      </c>
      <c r="E99" s="3" t="s">
        <v>22</v>
      </c>
      <c r="F99" s="3" t="s">
        <v>434</v>
      </c>
      <c r="G99" s="3" t="s">
        <v>3338</v>
      </c>
      <c r="H99" s="7">
        <v>44670</v>
      </c>
      <c r="I99" s="6">
        <v>50250</v>
      </c>
      <c r="J99" s="6">
        <v>9045</v>
      </c>
      <c r="K99" s="4">
        <v>7607</v>
      </c>
      <c r="L99" s="3" t="s">
        <v>435</v>
      </c>
      <c r="M99" s="3" t="s">
        <v>436</v>
      </c>
      <c r="N99" s="5">
        <f t="shared" si="1"/>
        <v>18</v>
      </c>
    </row>
    <row r="100" spans="1:14" ht="14.4" x14ac:dyDescent="0.3">
      <c r="A100" s="3" t="s">
        <v>437</v>
      </c>
      <c r="B100" s="3" t="s">
        <v>394</v>
      </c>
      <c r="C100" s="3" t="s">
        <v>26</v>
      </c>
      <c r="D100" s="3" t="s">
        <v>395</v>
      </c>
      <c r="E100" s="3" t="s">
        <v>396</v>
      </c>
      <c r="F100" s="3" t="s">
        <v>438</v>
      </c>
      <c r="G100" s="3" t="s">
        <v>3339</v>
      </c>
      <c r="H100" s="7">
        <v>44670</v>
      </c>
      <c r="I100" s="6">
        <v>29951</v>
      </c>
      <c r="J100" s="6">
        <v>5391.18</v>
      </c>
      <c r="K100" s="4">
        <v>48192090</v>
      </c>
      <c r="L100" s="3" t="s">
        <v>97</v>
      </c>
      <c r="M100" s="3" t="s">
        <v>92</v>
      </c>
      <c r="N100" s="5">
        <f t="shared" si="1"/>
        <v>18</v>
      </c>
    </row>
    <row r="101" spans="1:14" ht="14.4" x14ac:dyDescent="0.3">
      <c r="A101" s="3" t="s">
        <v>439</v>
      </c>
      <c r="B101" s="3" t="s">
        <v>433</v>
      </c>
      <c r="C101" s="3" t="s">
        <v>20</v>
      </c>
      <c r="D101" s="3" t="s">
        <v>156</v>
      </c>
      <c r="E101" s="3" t="s">
        <v>22</v>
      </c>
      <c r="F101" s="3" t="s">
        <v>440</v>
      </c>
      <c r="G101" s="3" t="s">
        <v>3340</v>
      </c>
      <c r="H101" s="7">
        <v>44667</v>
      </c>
      <c r="I101" s="6">
        <v>51966</v>
      </c>
      <c r="J101" s="6">
        <v>9353.8799999999992</v>
      </c>
      <c r="K101" s="4">
        <v>7607</v>
      </c>
      <c r="L101" s="3" t="s">
        <v>435</v>
      </c>
      <c r="M101" s="3" t="s">
        <v>436</v>
      </c>
      <c r="N101" s="5">
        <f t="shared" si="1"/>
        <v>17.999999999999996</v>
      </c>
    </row>
    <row r="102" spans="1:14" ht="14.4" x14ac:dyDescent="0.3">
      <c r="A102" s="3" t="s">
        <v>441</v>
      </c>
      <c r="B102" s="3" t="s">
        <v>394</v>
      </c>
      <c r="C102" s="3" t="s">
        <v>26</v>
      </c>
      <c r="D102" s="3" t="s">
        <v>395</v>
      </c>
      <c r="E102" s="3" t="s">
        <v>396</v>
      </c>
      <c r="F102" s="3" t="s">
        <v>442</v>
      </c>
      <c r="G102" s="3" t="s">
        <v>3341</v>
      </c>
      <c r="H102" s="7">
        <v>44662</v>
      </c>
      <c r="I102" s="6">
        <v>112455.6</v>
      </c>
      <c r="J102" s="6">
        <v>20242</v>
      </c>
      <c r="K102" s="4">
        <v>48192090</v>
      </c>
      <c r="L102" s="3" t="s">
        <v>97</v>
      </c>
      <c r="M102" s="3" t="s">
        <v>36</v>
      </c>
      <c r="N102" s="5">
        <f t="shared" si="1"/>
        <v>17.999992886081262</v>
      </c>
    </row>
    <row r="103" spans="1:14" ht="14.4" x14ac:dyDescent="0.3">
      <c r="A103" s="3" t="s">
        <v>443</v>
      </c>
      <c r="B103" s="3" t="s">
        <v>444</v>
      </c>
      <c r="C103" s="3" t="s">
        <v>270</v>
      </c>
      <c r="D103" s="3" t="s">
        <v>445</v>
      </c>
      <c r="E103" s="3" t="s">
        <v>22</v>
      </c>
      <c r="F103" s="3" t="s">
        <v>446</v>
      </c>
      <c r="G103" s="3" t="s">
        <v>3342</v>
      </c>
      <c r="H103" s="7">
        <v>44662</v>
      </c>
      <c r="I103" s="6">
        <v>14500</v>
      </c>
      <c r="J103" s="6">
        <v>2610</v>
      </c>
      <c r="K103" s="4">
        <v>35051010</v>
      </c>
      <c r="L103" s="3" t="s">
        <v>447</v>
      </c>
      <c r="M103" s="3" t="s">
        <v>448</v>
      </c>
      <c r="N103" s="5">
        <f t="shared" si="1"/>
        <v>18</v>
      </c>
    </row>
    <row r="104" spans="1:14" ht="14.4" x14ac:dyDescent="0.3">
      <c r="A104" s="3" t="s">
        <v>449</v>
      </c>
      <c r="B104" s="3" t="s">
        <v>178</v>
      </c>
      <c r="C104" s="3" t="s">
        <v>20</v>
      </c>
      <c r="D104" s="3" t="s">
        <v>50</v>
      </c>
      <c r="E104" s="3" t="s">
        <v>22</v>
      </c>
      <c r="F104" s="3" t="s">
        <v>450</v>
      </c>
      <c r="G104" s="3" t="s">
        <v>3343</v>
      </c>
      <c r="H104" s="7">
        <v>44658</v>
      </c>
      <c r="I104" s="6">
        <v>54660.800000000003</v>
      </c>
      <c r="J104" s="6">
        <v>9838.94</v>
      </c>
      <c r="K104" s="4">
        <v>76071995</v>
      </c>
      <c r="L104" s="3" t="s">
        <v>180</v>
      </c>
      <c r="M104" s="3" t="s">
        <v>98</v>
      </c>
      <c r="N104" s="5">
        <f t="shared" si="1"/>
        <v>17.999992682141496</v>
      </c>
    </row>
    <row r="105" spans="1:14" ht="14.4" x14ac:dyDescent="0.3">
      <c r="A105" s="3" t="s">
        <v>451</v>
      </c>
      <c r="B105" s="3" t="s">
        <v>55</v>
      </c>
      <c r="C105" s="3" t="s">
        <v>56</v>
      </c>
      <c r="D105" s="3" t="s">
        <v>57</v>
      </c>
      <c r="E105" s="3" t="s">
        <v>22</v>
      </c>
      <c r="F105" s="3" t="s">
        <v>452</v>
      </c>
      <c r="G105" s="3" t="s">
        <v>3344</v>
      </c>
      <c r="H105" s="7">
        <v>44656</v>
      </c>
      <c r="I105" s="6">
        <v>22700</v>
      </c>
      <c r="J105" s="6">
        <v>4086</v>
      </c>
      <c r="K105" s="4">
        <v>29420090</v>
      </c>
      <c r="L105" s="3"/>
      <c r="M105" s="3" t="s">
        <v>92</v>
      </c>
      <c r="N105" s="5">
        <f t="shared" si="1"/>
        <v>18</v>
      </c>
    </row>
    <row r="106" spans="1:14" ht="14.4" x14ac:dyDescent="0.3">
      <c r="A106" s="3" t="s">
        <v>453</v>
      </c>
      <c r="B106" s="3" t="s">
        <v>182</v>
      </c>
      <c r="C106" s="3" t="s">
        <v>20</v>
      </c>
      <c r="D106" s="3" t="s">
        <v>167</v>
      </c>
      <c r="E106" s="3" t="s">
        <v>22</v>
      </c>
      <c r="F106" s="3" t="s">
        <v>454</v>
      </c>
      <c r="G106" s="3" t="s">
        <v>3345</v>
      </c>
      <c r="H106" s="7">
        <v>44656</v>
      </c>
      <c r="I106" s="6">
        <v>115000</v>
      </c>
      <c r="J106" s="6">
        <v>20700</v>
      </c>
      <c r="K106" s="4">
        <v>39059990</v>
      </c>
      <c r="L106" s="3" t="s">
        <v>229</v>
      </c>
      <c r="M106" s="3" t="s">
        <v>98</v>
      </c>
      <c r="N106" s="5">
        <f t="shared" si="1"/>
        <v>18</v>
      </c>
    </row>
    <row r="107" spans="1:14" ht="14.4" x14ac:dyDescent="0.3">
      <c r="A107" s="3" t="s">
        <v>455</v>
      </c>
      <c r="B107" s="3" t="s">
        <v>456</v>
      </c>
      <c r="C107" s="3" t="s">
        <v>26</v>
      </c>
      <c r="D107" s="3" t="s">
        <v>395</v>
      </c>
      <c r="E107" s="3" t="s">
        <v>396</v>
      </c>
      <c r="F107" s="3" t="s">
        <v>457</v>
      </c>
      <c r="G107" s="3" t="s">
        <v>3346</v>
      </c>
      <c r="H107" s="7">
        <v>44655</v>
      </c>
      <c r="I107" s="6">
        <v>97745.2</v>
      </c>
      <c r="J107" s="6">
        <v>17594.14</v>
      </c>
      <c r="K107" s="4">
        <v>48192090</v>
      </c>
      <c r="L107" s="3" t="s">
        <v>97</v>
      </c>
      <c r="M107" s="3" t="s">
        <v>98</v>
      </c>
      <c r="N107" s="5">
        <f t="shared" si="1"/>
        <v>18.000004092272562</v>
      </c>
    </row>
    <row r="108" spans="1:14" ht="14.4" x14ac:dyDescent="0.3">
      <c r="A108" s="3" t="s">
        <v>458</v>
      </c>
      <c r="B108" s="3" t="s">
        <v>84</v>
      </c>
      <c r="C108" s="3" t="s">
        <v>20</v>
      </c>
      <c r="D108" s="3" t="s">
        <v>239</v>
      </c>
      <c r="E108" s="3" t="s">
        <v>22</v>
      </c>
      <c r="F108" s="3" t="s">
        <v>459</v>
      </c>
      <c r="G108" s="3" t="s">
        <v>3347</v>
      </c>
      <c r="H108" s="7">
        <v>44650</v>
      </c>
      <c r="I108" s="6">
        <v>58002.400000000001</v>
      </c>
      <c r="J108" s="6">
        <v>10440.43</v>
      </c>
      <c r="K108" s="4">
        <v>3921</v>
      </c>
      <c r="L108" s="3" t="s">
        <v>118</v>
      </c>
      <c r="M108" s="3" t="s">
        <v>460</v>
      </c>
      <c r="N108" s="5">
        <f t="shared" si="1"/>
        <v>17.999996551866818</v>
      </c>
    </row>
    <row r="109" spans="1:14" ht="14.4" x14ac:dyDescent="0.3">
      <c r="A109" s="3" t="s">
        <v>461</v>
      </c>
      <c r="B109" s="3" t="s">
        <v>462</v>
      </c>
      <c r="C109" s="3" t="s">
        <v>20</v>
      </c>
      <c r="D109" s="3" t="s">
        <v>50</v>
      </c>
      <c r="E109" s="3" t="s">
        <v>22</v>
      </c>
      <c r="F109" s="3" t="s">
        <v>463</v>
      </c>
      <c r="G109" s="3" t="s">
        <v>3348</v>
      </c>
      <c r="H109" s="7">
        <v>44679</v>
      </c>
      <c r="I109" s="6">
        <v>60644</v>
      </c>
      <c r="J109" s="6">
        <v>10915.92</v>
      </c>
      <c r="K109" s="4">
        <v>7607</v>
      </c>
      <c r="L109" s="3" t="s">
        <v>464</v>
      </c>
      <c r="M109" s="3" t="s">
        <v>195</v>
      </c>
      <c r="N109" s="5">
        <f t="shared" si="1"/>
        <v>18</v>
      </c>
    </row>
    <row r="110" spans="1:14" ht="14.4" x14ac:dyDescent="0.3">
      <c r="A110" s="3" t="s">
        <v>465</v>
      </c>
      <c r="B110" s="3" t="s">
        <v>394</v>
      </c>
      <c r="C110" s="3" t="s">
        <v>26</v>
      </c>
      <c r="D110" s="3" t="s">
        <v>395</v>
      </c>
      <c r="E110" s="3" t="s">
        <v>396</v>
      </c>
      <c r="F110" s="3" t="s">
        <v>466</v>
      </c>
      <c r="G110" s="3" t="s">
        <v>3349</v>
      </c>
      <c r="H110" s="7">
        <v>44677</v>
      </c>
      <c r="I110" s="6">
        <v>33680</v>
      </c>
      <c r="J110" s="6">
        <v>6062.4</v>
      </c>
      <c r="K110" s="4">
        <v>48192090</v>
      </c>
      <c r="L110" s="3" t="s">
        <v>97</v>
      </c>
      <c r="M110" s="3" t="s">
        <v>467</v>
      </c>
      <c r="N110" s="5">
        <f t="shared" si="1"/>
        <v>18</v>
      </c>
    </row>
    <row r="111" spans="1:14" ht="14.4" x14ac:dyDescent="0.3">
      <c r="A111" s="3" t="s">
        <v>468</v>
      </c>
      <c r="B111" s="3" t="s">
        <v>182</v>
      </c>
      <c r="C111" s="3" t="s">
        <v>20</v>
      </c>
      <c r="D111" s="3" t="s">
        <v>167</v>
      </c>
      <c r="E111" s="3" t="s">
        <v>22</v>
      </c>
      <c r="F111" s="3" t="s">
        <v>469</v>
      </c>
      <c r="G111" s="3" t="s">
        <v>3350</v>
      </c>
      <c r="H111" s="7">
        <v>44677</v>
      </c>
      <c r="I111" s="6">
        <v>112450</v>
      </c>
      <c r="J111" s="6">
        <v>20241</v>
      </c>
      <c r="K111" s="4">
        <v>39123919</v>
      </c>
      <c r="L111" s="3" t="s">
        <v>470</v>
      </c>
      <c r="M111" s="3" t="s">
        <v>471</v>
      </c>
      <c r="N111" s="5">
        <f t="shared" si="1"/>
        <v>18</v>
      </c>
    </row>
    <row r="112" spans="1:14" ht="14.4" x14ac:dyDescent="0.3">
      <c r="A112" s="3" t="s">
        <v>472</v>
      </c>
      <c r="B112" s="3" t="s">
        <v>182</v>
      </c>
      <c r="C112" s="3" t="s">
        <v>20</v>
      </c>
      <c r="D112" s="3" t="s">
        <v>167</v>
      </c>
      <c r="E112" s="3" t="s">
        <v>22</v>
      </c>
      <c r="F112" s="3" t="s">
        <v>473</v>
      </c>
      <c r="G112" s="3" t="s">
        <v>3351</v>
      </c>
      <c r="H112" s="7">
        <v>44677</v>
      </c>
      <c r="I112" s="6">
        <v>237500</v>
      </c>
      <c r="J112" s="6">
        <v>42750</v>
      </c>
      <c r="K112" s="4">
        <v>39123919</v>
      </c>
      <c r="L112" s="3" t="s">
        <v>474</v>
      </c>
      <c r="M112" s="3" t="s">
        <v>471</v>
      </c>
      <c r="N112" s="5">
        <f t="shared" si="1"/>
        <v>18</v>
      </c>
    </row>
    <row r="113" spans="1:14" ht="14.4" x14ac:dyDescent="0.3">
      <c r="A113" s="3" t="s">
        <v>475</v>
      </c>
      <c r="B113" s="3" t="s">
        <v>202</v>
      </c>
      <c r="C113" s="3" t="s">
        <v>134</v>
      </c>
      <c r="D113" s="3" t="s">
        <v>203</v>
      </c>
      <c r="E113" s="3" t="s">
        <v>204</v>
      </c>
      <c r="F113" s="3" t="s">
        <v>476</v>
      </c>
      <c r="G113" s="3" t="s">
        <v>3352</v>
      </c>
      <c r="H113" s="7">
        <v>44672</v>
      </c>
      <c r="I113" s="6">
        <v>329026.05</v>
      </c>
      <c r="J113" s="6">
        <v>59224.69</v>
      </c>
      <c r="K113" s="4">
        <v>76071994</v>
      </c>
      <c r="L113" s="3" t="s">
        <v>206</v>
      </c>
      <c r="M113" s="3"/>
      <c r="N113" s="5">
        <f t="shared" si="1"/>
        <v>18.000000303927305</v>
      </c>
    </row>
    <row r="114" spans="1:14" ht="14.4" x14ac:dyDescent="0.3">
      <c r="A114" s="3" t="s">
        <v>477</v>
      </c>
      <c r="B114" s="3" t="s">
        <v>202</v>
      </c>
      <c r="C114" s="3" t="s">
        <v>134</v>
      </c>
      <c r="D114" s="3" t="s">
        <v>203</v>
      </c>
      <c r="E114" s="3" t="s">
        <v>204</v>
      </c>
      <c r="F114" s="3" t="s">
        <v>478</v>
      </c>
      <c r="G114" s="3" t="s">
        <v>3353</v>
      </c>
      <c r="H114" s="7">
        <v>44672</v>
      </c>
      <c r="I114" s="6">
        <v>486955.8</v>
      </c>
      <c r="J114" s="6">
        <v>87652.04</v>
      </c>
      <c r="K114" s="4">
        <v>76071994</v>
      </c>
      <c r="L114" s="3" t="s">
        <v>206</v>
      </c>
      <c r="M114" s="3"/>
      <c r="N114" s="5">
        <f t="shared" si="1"/>
        <v>17.99999917857021</v>
      </c>
    </row>
    <row r="115" spans="1:14" ht="14.4" x14ac:dyDescent="0.3">
      <c r="A115" s="3" t="s">
        <v>479</v>
      </c>
      <c r="B115" s="3" t="s">
        <v>178</v>
      </c>
      <c r="C115" s="3" t="s">
        <v>20</v>
      </c>
      <c r="D115" s="3" t="s">
        <v>50</v>
      </c>
      <c r="E115" s="3" t="s">
        <v>22</v>
      </c>
      <c r="F115" s="3" t="s">
        <v>480</v>
      </c>
      <c r="G115" s="3" t="s">
        <v>3354</v>
      </c>
      <c r="H115" s="7">
        <v>44671</v>
      </c>
      <c r="I115" s="6">
        <v>59078.400000000001</v>
      </c>
      <c r="J115" s="6">
        <v>10634.12</v>
      </c>
      <c r="K115" s="4">
        <v>76071995</v>
      </c>
      <c r="L115" s="3" t="s">
        <v>180</v>
      </c>
      <c r="M115" s="3" t="s">
        <v>32</v>
      </c>
      <c r="N115" s="5">
        <f t="shared" si="1"/>
        <v>18.000013541328133</v>
      </c>
    </row>
    <row r="116" spans="1:14" ht="14.4" x14ac:dyDescent="0.3">
      <c r="A116" s="3" t="s">
        <v>481</v>
      </c>
      <c r="B116" s="3" t="s">
        <v>394</v>
      </c>
      <c r="C116" s="3" t="s">
        <v>26</v>
      </c>
      <c r="D116" s="3" t="s">
        <v>395</v>
      </c>
      <c r="E116" s="3" t="s">
        <v>396</v>
      </c>
      <c r="F116" s="3" t="s">
        <v>482</v>
      </c>
      <c r="G116" s="3" t="s">
        <v>3355</v>
      </c>
      <c r="H116" s="7">
        <v>44667</v>
      </c>
      <c r="I116" s="6">
        <v>199214.4</v>
      </c>
      <c r="J116" s="6">
        <v>35858.6</v>
      </c>
      <c r="K116" s="4">
        <v>48192090</v>
      </c>
      <c r="L116" s="3" t="s">
        <v>97</v>
      </c>
      <c r="M116" s="3" t="s">
        <v>36</v>
      </c>
      <c r="N116" s="5">
        <f t="shared" si="1"/>
        <v>18.00000401577396</v>
      </c>
    </row>
    <row r="117" spans="1:14" ht="14.4" x14ac:dyDescent="0.3">
      <c r="A117" s="3" t="s">
        <v>483</v>
      </c>
      <c r="B117" s="3" t="s">
        <v>150</v>
      </c>
      <c r="C117" s="3" t="s">
        <v>20</v>
      </c>
      <c r="D117" s="3" t="s">
        <v>112</v>
      </c>
      <c r="E117" s="3" t="s">
        <v>22</v>
      </c>
      <c r="F117" s="3" t="s">
        <v>484</v>
      </c>
      <c r="G117" s="3" t="s">
        <v>3356</v>
      </c>
      <c r="H117" s="7">
        <v>44665</v>
      </c>
      <c r="I117" s="6">
        <v>72500</v>
      </c>
      <c r="J117" s="6">
        <v>13050</v>
      </c>
      <c r="K117" s="4">
        <v>39233090</v>
      </c>
      <c r="L117" s="3"/>
      <c r="M117" s="3" t="s">
        <v>485</v>
      </c>
      <c r="N117" s="5">
        <f t="shared" si="1"/>
        <v>18</v>
      </c>
    </row>
    <row r="118" spans="1:14" ht="14.4" x14ac:dyDescent="0.3">
      <c r="A118" s="3" t="s">
        <v>486</v>
      </c>
      <c r="B118" s="3" t="s">
        <v>394</v>
      </c>
      <c r="C118" s="3" t="s">
        <v>26</v>
      </c>
      <c r="D118" s="3" t="s">
        <v>395</v>
      </c>
      <c r="E118" s="3" t="s">
        <v>396</v>
      </c>
      <c r="F118" s="3" t="s">
        <v>487</v>
      </c>
      <c r="G118" s="3" t="s">
        <v>3357</v>
      </c>
      <c r="H118" s="7">
        <v>44665</v>
      </c>
      <c r="I118" s="6">
        <v>169595</v>
      </c>
      <c r="J118" s="6">
        <v>29209.32</v>
      </c>
      <c r="K118" s="4">
        <v>48192090</v>
      </c>
      <c r="L118" s="3" t="s">
        <v>97</v>
      </c>
      <c r="M118" s="3" t="s">
        <v>36</v>
      </c>
      <c r="N118" s="5">
        <f t="shared" si="1"/>
        <v>17.222984168165336</v>
      </c>
    </row>
    <row r="119" spans="1:14" ht="14.4" x14ac:dyDescent="0.3">
      <c r="A119" s="3" t="s">
        <v>488</v>
      </c>
      <c r="B119" s="3" t="s">
        <v>145</v>
      </c>
      <c r="C119" s="3" t="s">
        <v>20</v>
      </c>
      <c r="D119" s="3" t="s">
        <v>489</v>
      </c>
      <c r="E119" s="3" t="s">
        <v>22</v>
      </c>
      <c r="F119" s="3" t="s">
        <v>490</v>
      </c>
      <c r="G119" s="3" t="s">
        <v>3358</v>
      </c>
      <c r="H119" s="7">
        <v>44665</v>
      </c>
      <c r="I119" s="6">
        <v>125850</v>
      </c>
      <c r="J119" s="6">
        <v>15102</v>
      </c>
      <c r="K119" s="4">
        <v>11081200</v>
      </c>
      <c r="L119" s="3"/>
      <c r="M119" s="3" t="s">
        <v>491</v>
      </c>
      <c r="N119" s="5">
        <f t="shared" si="1"/>
        <v>12</v>
      </c>
    </row>
    <row r="120" spans="1:14" ht="14.4" x14ac:dyDescent="0.3">
      <c r="A120" s="3" t="s">
        <v>492</v>
      </c>
      <c r="B120" s="3" t="s">
        <v>161</v>
      </c>
      <c r="C120" s="3" t="s">
        <v>56</v>
      </c>
      <c r="D120" s="3" t="s">
        <v>57</v>
      </c>
      <c r="E120" s="3" t="s">
        <v>162</v>
      </c>
      <c r="F120" s="3" t="s">
        <v>493</v>
      </c>
      <c r="G120" s="3" t="s">
        <v>3359</v>
      </c>
      <c r="H120" s="7">
        <v>44664</v>
      </c>
      <c r="I120" s="6">
        <v>468984.38</v>
      </c>
      <c r="J120" s="6">
        <v>84417.18</v>
      </c>
      <c r="K120" s="4">
        <v>29419090</v>
      </c>
      <c r="L120" s="3" t="s">
        <v>494</v>
      </c>
      <c r="M120" s="3" t="s">
        <v>495</v>
      </c>
      <c r="N120" s="5">
        <f t="shared" si="1"/>
        <v>17.999998208895573</v>
      </c>
    </row>
    <row r="121" spans="1:14" ht="14.4" x14ac:dyDescent="0.3">
      <c r="A121" s="3" t="s">
        <v>496</v>
      </c>
      <c r="B121" s="3" t="s">
        <v>423</v>
      </c>
      <c r="C121" s="3" t="s">
        <v>20</v>
      </c>
      <c r="D121" s="3" t="s">
        <v>50</v>
      </c>
      <c r="E121" s="3" t="s">
        <v>22</v>
      </c>
      <c r="F121" s="3" t="s">
        <v>497</v>
      </c>
      <c r="G121" s="3">
        <v>46</v>
      </c>
      <c r="H121" s="7">
        <v>44664</v>
      </c>
      <c r="I121" s="6">
        <v>339322.5</v>
      </c>
      <c r="J121" s="6">
        <v>61078.06</v>
      </c>
      <c r="K121" s="4">
        <v>39219023</v>
      </c>
      <c r="L121" s="3" t="s">
        <v>498</v>
      </c>
      <c r="M121" s="3" t="s">
        <v>36</v>
      </c>
      <c r="N121" s="5">
        <f t="shared" si="1"/>
        <v>18.000002947048898</v>
      </c>
    </row>
    <row r="122" spans="1:14" ht="14.4" x14ac:dyDescent="0.3">
      <c r="A122" s="3" t="s">
        <v>499</v>
      </c>
      <c r="B122" s="3" t="s">
        <v>182</v>
      </c>
      <c r="C122" s="3" t="s">
        <v>20</v>
      </c>
      <c r="D122" s="3" t="s">
        <v>167</v>
      </c>
      <c r="E122" s="3" t="s">
        <v>22</v>
      </c>
      <c r="F122" s="3" t="s">
        <v>500</v>
      </c>
      <c r="G122" s="3" t="s">
        <v>3360</v>
      </c>
      <c r="H122" s="7">
        <v>44663</v>
      </c>
      <c r="I122" s="6">
        <v>105600</v>
      </c>
      <c r="J122" s="6">
        <v>19008</v>
      </c>
      <c r="K122" s="4">
        <v>29051220</v>
      </c>
      <c r="L122" s="3" t="s">
        <v>501</v>
      </c>
      <c r="M122" s="3" t="s">
        <v>36</v>
      </c>
      <c r="N122" s="5">
        <f t="shared" si="1"/>
        <v>18</v>
      </c>
    </row>
    <row r="123" spans="1:14" ht="14.4" x14ac:dyDescent="0.3">
      <c r="A123" s="3" t="s">
        <v>502</v>
      </c>
      <c r="B123" s="3" t="s">
        <v>155</v>
      </c>
      <c r="C123" s="3" t="s">
        <v>20</v>
      </c>
      <c r="D123" s="3" t="s">
        <v>156</v>
      </c>
      <c r="E123" s="3" t="s">
        <v>22</v>
      </c>
      <c r="F123" s="3" t="s">
        <v>503</v>
      </c>
      <c r="G123" s="3">
        <v>61</v>
      </c>
      <c r="H123" s="7">
        <v>44663</v>
      </c>
      <c r="I123" s="6">
        <v>58583</v>
      </c>
      <c r="J123" s="6">
        <v>10544.94</v>
      </c>
      <c r="K123" s="4">
        <v>48191010</v>
      </c>
      <c r="L123" s="3" t="s">
        <v>504</v>
      </c>
      <c r="M123" s="3" t="s">
        <v>159</v>
      </c>
      <c r="N123" s="5">
        <f t="shared" si="1"/>
        <v>18</v>
      </c>
    </row>
    <row r="124" spans="1:14" ht="14.4" x14ac:dyDescent="0.3">
      <c r="A124" s="3" t="s">
        <v>505</v>
      </c>
      <c r="B124" s="3" t="s">
        <v>155</v>
      </c>
      <c r="C124" s="3" t="s">
        <v>20</v>
      </c>
      <c r="D124" s="3" t="s">
        <v>156</v>
      </c>
      <c r="E124" s="3" t="s">
        <v>22</v>
      </c>
      <c r="F124" s="3" t="s">
        <v>506</v>
      </c>
      <c r="G124" s="3">
        <v>60</v>
      </c>
      <c r="H124" s="7">
        <v>44663</v>
      </c>
      <c r="I124" s="6">
        <v>58583</v>
      </c>
      <c r="J124" s="6">
        <v>10544.94</v>
      </c>
      <c r="K124" s="4">
        <v>48191010</v>
      </c>
      <c r="L124" s="3" t="s">
        <v>504</v>
      </c>
      <c r="M124" s="3" t="s">
        <v>159</v>
      </c>
      <c r="N124" s="5">
        <f t="shared" si="1"/>
        <v>18</v>
      </c>
    </row>
    <row r="125" spans="1:14" ht="14.4" x14ac:dyDescent="0.3">
      <c r="A125" s="3" t="s">
        <v>507</v>
      </c>
      <c r="B125" s="3" t="s">
        <v>161</v>
      </c>
      <c r="C125" s="3" t="s">
        <v>56</v>
      </c>
      <c r="D125" s="3" t="s">
        <v>57</v>
      </c>
      <c r="E125" s="3" t="s">
        <v>162</v>
      </c>
      <c r="F125" s="3" t="s">
        <v>508</v>
      </c>
      <c r="G125" s="3" t="s">
        <v>3361</v>
      </c>
      <c r="H125" s="7">
        <v>44662</v>
      </c>
      <c r="I125" s="6">
        <v>1986993</v>
      </c>
      <c r="J125" s="6">
        <v>357658.74</v>
      </c>
      <c r="K125" s="4">
        <v>29222933</v>
      </c>
      <c r="L125" s="3" t="s">
        <v>164</v>
      </c>
      <c r="M125" s="3" t="s">
        <v>509</v>
      </c>
      <c r="N125" s="5">
        <f t="shared" si="1"/>
        <v>18</v>
      </c>
    </row>
    <row r="126" spans="1:14" ht="14.4" x14ac:dyDescent="0.3">
      <c r="A126" s="3" t="s">
        <v>510</v>
      </c>
      <c r="B126" s="3" t="s">
        <v>55</v>
      </c>
      <c r="C126" s="3" t="s">
        <v>56</v>
      </c>
      <c r="D126" s="3" t="s">
        <v>57</v>
      </c>
      <c r="E126" s="3" t="s">
        <v>22</v>
      </c>
      <c r="F126" s="3" t="s">
        <v>511</v>
      </c>
      <c r="G126" s="3" t="s">
        <v>3362</v>
      </c>
      <c r="H126" s="7">
        <v>44662</v>
      </c>
      <c r="I126" s="6">
        <v>214500</v>
      </c>
      <c r="J126" s="6">
        <v>38610</v>
      </c>
      <c r="K126" s="4">
        <v>96020030</v>
      </c>
      <c r="L126" s="3"/>
      <c r="M126" s="3" t="s">
        <v>512</v>
      </c>
      <c r="N126" s="5">
        <f t="shared" si="1"/>
        <v>18</v>
      </c>
    </row>
    <row r="127" spans="1:14" ht="14.4" x14ac:dyDescent="0.3">
      <c r="A127" s="3" t="s">
        <v>513</v>
      </c>
      <c r="B127" s="3" t="s">
        <v>182</v>
      </c>
      <c r="C127" s="3" t="s">
        <v>20</v>
      </c>
      <c r="D127" s="3" t="s">
        <v>167</v>
      </c>
      <c r="E127" s="3" t="s">
        <v>22</v>
      </c>
      <c r="F127" s="3" t="s">
        <v>514</v>
      </c>
      <c r="G127" s="3" t="s">
        <v>3363</v>
      </c>
      <c r="H127" s="7">
        <v>44662</v>
      </c>
      <c r="I127" s="6">
        <v>76875</v>
      </c>
      <c r="J127" s="6">
        <v>13837.5</v>
      </c>
      <c r="K127" s="4">
        <v>29054300</v>
      </c>
      <c r="L127" s="3" t="s">
        <v>515</v>
      </c>
      <c r="M127" s="3" t="s">
        <v>516</v>
      </c>
      <c r="N127" s="5">
        <f t="shared" si="1"/>
        <v>18</v>
      </c>
    </row>
    <row r="128" spans="1:14" ht="14.4" x14ac:dyDescent="0.3">
      <c r="A128" s="3" t="s">
        <v>517</v>
      </c>
      <c r="B128" s="3" t="s">
        <v>518</v>
      </c>
      <c r="C128" s="3" t="s">
        <v>134</v>
      </c>
      <c r="D128" s="3" t="s">
        <v>519</v>
      </c>
      <c r="E128" s="3" t="s">
        <v>188</v>
      </c>
      <c r="F128" s="3" t="s">
        <v>520</v>
      </c>
      <c r="G128" s="3" t="s">
        <v>3364</v>
      </c>
      <c r="H128" s="7">
        <v>44659</v>
      </c>
      <c r="I128" s="6">
        <v>997500</v>
      </c>
      <c r="J128" s="6">
        <v>179550</v>
      </c>
      <c r="K128" s="4">
        <v>29411030</v>
      </c>
      <c r="L128" s="3" t="s">
        <v>521</v>
      </c>
      <c r="M128" s="3" t="s">
        <v>522</v>
      </c>
      <c r="N128" s="5">
        <f t="shared" si="1"/>
        <v>18</v>
      </c>
    </row>
    <row r="129" spans="1:14" ht="14.4" x14ac:dyDescent="0.3">
      <c r="A129" s="3" t="s">
        <v>523</v>
      </c>
      <c r="B129" s="3" t="s">
        <v>89</v>
      </c>
      <c r="C129" s="3" t="s">
        <v>20</v>
      </c>
      <c r="D129" s="3" t="s">
        <v>50</v>
      </c>
      <c r="E129" s="3" t="s">
        <v>22</v>
      </c>
      <c r="F129" s="3" t="s">
        <v>524</v>
      </c>
      <c r="G129" s="3">
        <v>36</v>
      </c>
      <c r="H129" s="7">
        <v>44660</v>
      </c>
      <c r="I129" s="6">
        <v>55343.85</v>
      </c>
      <c r="J129" s="6">
        <v>9961.9</v>
      </c>
      <c r="K129" s="4">
        <v>76071994</v>
      </c>
      <c r="L129" s="3" t="s">
        <v>525</v>
      </c>
      <c r="M129" s="3" t="s">
        <v>107</v>
      </c>
      <c r="N129" s="5">
        <f t="shared" si="1"/>
        <v>18.000012648198492</v>
      </c>
    </row>
    <row r="130" spans="1:14" ht="14.4" x14ac:dyDescent="0.3">
      <c r="A130" s="3" t="s">
        <v>526</v>
      </c>
      <c r="B130" s="3" t="s">
        <v>89</v>
      </c>
      <c r="C130" s="3" t="s">
        <v>20</v>
      </c>
      <c r="D130" s="3" t="s">
        <v>50</v>
      </c>
      <c r="E130" s="3" t="s">
        <v>22</v>
      </c>
      <c r="F130" s="3" t="s">
        <v>527</v>
      </c>
      <c r="G130" s="3">
        <v>31</v>
      </c>
      <c r="H130" s="7">
        <v>44659</v>
      </c>
      <c r="I130" s="6">
        <v>57474</v>
      </c>
      <c r="J130" s="6">
        <v>10345.32</v>
      </c>
      <c r="K130" s="4">
        <v>76071994</v>
      </c>
      <c r="L130" s="3" t="s">
        <v>525</v>
      </c>
      <c r="M130" s="3" t="s">
        <v>467</v>
      </c>
      <c r="N130" s="5">
        <f t="shared" si="1"/>
        <v>18</v>
      </c>
    </row>
    <row r="131" spans="1:14" ht="14.4" x14ac:dyDescent="0.3">
      <c r="A131" s="3" t="s">
        <v>528</v>
      </c>
      <c r="B131" s="3" t="s">
        <v>84</v>
      </c>
      <c r="C131" s="3" t="s">
        <v>20</v>
      </c>
      <c r="D131" s="3" t="s">
        <v>239</v>
      </c>
      <c r="E131" s="3" t="s">
        <v>22</v>
      </c>
      <c r="F131" s="3" t="s">
        <v>529</v>
      </c>
      <c r="G131" s="3" t="s">
        <v>3365</v>
      </c>
      <c r="H131" s="7">
        <v>44655</v>
      </c>
      <c r="I131" s="6">
        <v>45080</v>
      </c>
      <c r="J131" s="6">
        <v>8114.4</v>
      </c>
      <c r="K131" s="4">
        <v>3921</v>
      </c>
      <c r="L131" s="3" t="s">
        <v>118</v>
      </c>
      <c r="M131" s="3" t="s">
        <v>530</v>
      </c>
      <c r="N131" s="5">
        <f t="shared" ref="N131:N194" si="2">J131*100/I131</f>
        <v>18</v>
      </c>
    </row>
    <row r="132" spans="1:14" ht="14.4" x14ac:dyDescent="0.3">
      <c r="A132" s="3" t="s">
        <v>531</v>
      </c>
      <c r="B132" s="3" t="s">
        <v>394</v>
      </c>
      <c r="C132" s="3" t="s">
        <v>26</v>
      </c>
      <c r="D132" s="3" t="s">
        <v>395</v>
      </c>
      <c r="E132" s="3" t="s">
        <v>396</v>
      </c>
      <c r="F132" s="3" t="s">
        <v>532</v>
      </c>
      <c r="G132" s="3" t="s">
        <v>3366</v>
      </c>
      <c r="H132" s="7">
        <v>44657</v>
      </c>
      <c r="I132" s="6">
        <v>43901.25</v>
      </c>
      <c r="J132" s="6">
        <v>7902.22</v>
      </c>
      <c r="K132" s="4">
        <v>48192090</v>
      </c>
      <c r="L132" s="3" t="s">
        <v>97</v>
      </c>
      <c r="M132" s="3" t="s">
        <v>36</v>
      </c>
      <c r="N132" s="5">
        <f t="shared" si="2"/>
        <v>17.999988610802653</v>
      </c>
    </row>
    <row r="133" spans="1:14" ht="14.4" x14ac:dyDescent="0.3">
      <c r="A133" s="3" t="s">
        <v>533</v>
      </c>
      <c r="B133" s="3" t="s">
        <v>534</v>
      </c>
      <c r="C133" s="3" t="s">
        <v>535</v>
      </c>
      <c r="D133" s="3" t="s">
        <v>536</v>
      </c>
      <c r="E133" s="3" t="s">
        <v>378</v>
      </c>
      <c r="F133" s="3" t="s">
        <v>537</v>
      </c>
      <c r="G133" s="3" t="s">
        <v>3367</v>
      </c>
      <c r="H133" s="7">
        <v>44655</v>
      </c>
      <c r="I133" s="6">
        <v>245000</v>
      </c>
      <c r="J133" s="6">
        <v>44100</v>
      </c>
      <c r="K133" s="4">
        <v>96020030</v>
      </c>
      <c r="L133" s="3"/>
      <c r="M133" s="3" t="s">
        <v>98</v>
      </c>
      <c r="N133" s="5">
        <f t="shared" si="2"/>
        <v>18</v>
      </c>
    </row>
    <row r="134" spans="1:14" ht="14.4" x14ac:dyDescent="0.3">
      <c r="A134" s="3" t="s">
        <v>538</v>
      </c>
      <c r="B134" s="3" t="s">
        <v>161</v>
      </c>
      <c r="C134" s="3" t="s">
        <v>56</v>
      </c>
      <c r="D134" s="3" t="s">
        <v>57</v>
      </c>
      <c r="E134" s="3" t="s">
        <v>162</v>
      </c>
      <c r="F134" s="3" t="s">
        <v>539</v>
      </c>
      <c r="G134" s="3" t="s">
        <v>3368</v>
      </c>
      <c r="H134" s="7">
        <v>44652</v>
      </c>
      <c r="I134" s="6">
        <v>1370685</v>
      </c>
      <c r="J134" s="6">
        <v>246723.3</v>
      </c>
      <c r="K134" s="4">
        <v>29222933</v>
      </c>
      <c r="L134" s="3" t="s">
        <v>540</v>
      </c>
      <c r="M134" s="3" t="s">
        <v>301</v>
      </c>
      <c r="N134" s="5">
        <f t="shared" si="2"/>
        <v>18</v>
      </c>
    </row>
    <row r="135" spans="1:14" ht="14.4" x14ac:dyDescent="0.3">
      <c r="A135" s="3" t="s">
        <v>541</v>
      </c>
      <c r="B135" s="3" t="s">
        <v>542</v>
      </c>
      <c r="C135" s="3" t="s">
        <v>20</v>
      </c>
      <c r="D135" s="3" t="s">
        <v>543</v>
      </c>
      <c r="E135" s="3" t="s">
        <v>22</v>
      </c>
      <c r="F135" s="3" t="s">
        <v>544</v>
      </c>
      <c r="G135" s="3">
        <v>69</v>
      </c>
      <c r="H135" s="7">
        <v>44935</v>
      </c>
      <c r="I135" s="6">
        <v>46500</v>
      </c>
      <c r="J135" s="6">
        <v>8370</v>
      </c>
      <c r="K135" s="4">
        <v>28365000</v>
      </c>
      <c r="L135" s="3"/>
      <c r="M135" s="3" t="s">
        <v>545</v>
      </c>
      <c r="N135" s="5">
        <f t="shared" si="2"/>
        <v>18</v>
      </c>
    </row>
    <row r="136" spans="1:14" ht="14.4" x14ac:dyDescent="0.3">
      <c r="A136" s="3" t="s">
        <v>546</v>
      </c>
      <c r="B136" s="3" t="s">
        <v>542</v>
      </c>
      <c r="C136" s="3" t="s">
        <v>20</v>
      </c>
      <c r="D136" s="3" t="s">
        <v>547</v>
      </c>
      <c r="E136" s="3" t="s">
        <v>22</v>
      </c>
      <c r="F136" s="3" t="s">
        <v>548</v>
      </c>
      <c r="G136" s="3">
        <v>73</v>
      </c>
      <c r="H136" s="7">
        <v>44946</v>
      </c>
      <c r="I136" s="6">
        <v>80250</v>
      </c>
      <c r="J136" s="6">
        <v>14445</v>
      </c>
      <c r="K136" s="4">
        <v>29054300</v>
      </c>
      <c r="L136" s="3"/>
      <c r="M136" s="3" t="s">
        <v>549</v>
      </c>
      <c r="N136" s="5">
        <f t="shared" si="2"/>
        <v>18</v>
      </c>
    </row>
    <row r="137" spans="1:14" ht="14.4" x14ac:dyDescent="0.3">
      <c r="A137" s="3" t="s">
        <v>550</v>
      </c>
      <c r="B137" s="3" t="s">
        <v>25</v>
      </c>
      <c r="C137" s="3" t="s">
        <v>26</v>
      </c>
      <c r="D137" s="3" t="s">
        <v>27</v>
      </c>
      <c r="E137" s="3" t="s">
        <v>28</v>
      </c>
      <c r="F137" s="3" t="s">
        <v>551</v>
      </c>
      <c r="G137" s="3" t="s">
        <v>3369</v>
      </c>
      <c r="H137" s="7">
        <v>44957</v>
      </c>
      <c r="I137" s="6">
        <v>940000</v>
      </c>
      <c r="J137" s="6">
        <v>169200</v>
      </c>
      <c r="K137" s="4">
        <v>29420090</v>
      </c>
      <c r="L137" s="3" t="s">
        <v>552</v>
      </c>
      <c r="M137" s="3" t="s">
        <v>107</v>
      </c>
      <c r="N137" s="5">
        <f t="shared" si="2"/>
        <v>18</v>
      </c>
    </row>
    <row r="138" spans="1:14" ht="14.4" x14ac:dyDescent="0.3">
      <c r="A138" s="3" t="s">
        <v>553</v>
      </c>
      <c r="B138" s="3" t="s">
        <v>94</v>
      </c>
      <c r="C138" s="3" t="s">
        <v>26</v>
      </c>
      <c r="D138" s="3" t="s">
        <v>95</v>
      </c>
      <c r="E138" s="3" t="s">
        <v>22</v>
      </c>
      <c r="F138" s="3" t="s">
        <v>554</v>
      </c>
      <c r="G138" s="3" t="s">
        <v>3370</v>
      </c>
      <c r="H138" s="7">
        <v>44957</v>
      </c>
      <c r="I138" s="6">
        <v>66985</v>
      </c>
      <c r="J138" s="6">
        <v>12057.3</v>
      </c>
      <c r="K138" s="4">
        <v>48192090</v>
      </c>
      <c r="L138" s="3" t="s">
        <v>97</v>
      </c>
      <c r="M138" s="3" t="s">
        <v>107</v>
      </c>
      <c r="N138" s="5">
        <f t="shared" si="2"/>
        <v>18</v>
      </c>
    </row>
    <row r="139" spans="1:14" ht="14.4" x14ac:dyDescent="0.3">
      <c r="A139" s="3" t="s">
        <v>555</v>
      </c>
      <c r="B139" s="3" t="s">
        <v>556</v>
      </c>
      <c r="C139" s="3" t="s">
        <v>557</v>
      </c>
      <c r="D139" s="3" t="s">
        <v>22</v>
      </c>
      <c r="E139" s="3" t="s">
        <v>15</v>
      </c>
      <c r="F139" s="3" t="s">
        <v>558</v>
      </c>
      <c r="G139" s="3">
        <v>2459</v>
      </c>
      <c r="H139" s="7">
        <v>44950</v>
      </c>
      <c r="I139" s="6">
        <v>201348</v>
      </c>
      <c r="J139" s="6">
        <v>36242.639999999999</v>
      </c>
      <c r="K139" s="4">
        <v>3208</v>
      </c>
      <c r="L139" s="3" t="s">
        <v>559</v>
      </c>
      <c r="M139" s="3" t="s">
        <v>560</v>
      </c>
      <c r="N139" s="5">
        <f t="shared" si="2"/>
        <v>18</v>
      </c>
    </row>
    <row r="140" spans="1:14" ht="14.4" x14ac:dyDescent="0.3">
      <c r="A140" s="3" t="s">
        <v>561</v>
      </c>
      <c r="B140" s="3" t="s">
        <v>182</v>
      </c>
      <c r="C140" s="3" t="s">
        <v>20</v>
      </c>
      <c r="D140" s="3" t="s">
        <v>167</v>
      </c>
      <c r="E140" s="3" t="s">
        <v>22</v>
      </c>
      <c r="F140" s="3" t="s">
        <v>562</v>
      </c>
      <c r="G140" s="3" t="s">
        <v>3371</v>
      </c>
      <c r="H140" s="7">
        <v>44947</v>
      </c>
      <c r="I140" s="6">
        <v>58800</v>
      </c>
      <c r="J140" s="6">
        <v>10584</v>
      </c>
      <c r="K140" s="4">
        <v>29182310</v>
      </c>
      <c r="L140" s="3" t="s">
        <v>563</v>
      </c>
      <c r="M140" s="3" t="s">
        <v>59</v>
      </c>
      <c r="N140" s="5">
        <f t="shared" si="2"/>
        <v>18</v>
      </c>
    </row>
    <row r="141" spans="1:14" ht="14.4" x14ac:dyDescent="0.3">
      <c r="A141" s="3" t="s">
        <v>564</v>
      </c>
      <c r="B141" s="3" t="s">
        <v>565</v>
      </c>
      <c r="C141" s="3" t="s">
        <v>20</v>
      </c>
      <c r="D141" s="3" t="s">
        <v>566</v>
      </c>
      <c r="E141" s="3" t="s">
        <v>22</v>
      </c>
      <c r="F141" s="3" t="s">
        <v>567</v>
      </c>
      <c r="G141" s="3" t="s">
        <v>3372</v>
      </c>
      <c r="H141" s="7">
        <v>44947</v>
      </c>
      <c r="I141" s="6">
        <v>3510000</v>
      </c>
      <c r="J141" s="6">
        <v>631800</v>
      </c>
      <c r="K141" s="4">
        <v>29419090</v>
      </c>
      <c r="L141" s="3" t="s">
        <v>568</v>
      </c>
      <c r="M141" s="3" t="s">
        <v>569</v>
      </c>
      <c r="N141" s="5">
        <f t="shared" si="2"/>
        <v>18</v>
      </c>
    </row>
    <row r="142" spans="1:14" ht="14.4" x14ac:dyDescent="0.3">
      <c r="A142" s="3" t="s">
        <v>570</v>
      </c>
      <c r="B142" s="3" t="s">
        <v>197</v>
      </c>
      <c r="C142" s="3" t="s">
        <v>20</v>
      </c>
      <c r="D142" s="3" t="s">
        <v>57</v>
      </c>
      <c r="E142" s="3" t="s">
        <v>22</v>
      </c>
      <c r="F142" s="3" t="s">
        <v>571</v>
      </c>
      <c r="G142" s="3" t="s">
        <v>3373</v>
      </c>
      <c r="H142" s="7">
        <v>44939</v>
      </c>
      <c r="I142" s="6">
        <v>95000</v>
      </c>
      <c r="J142" s="6">
        <v>17100</v>
      </c>
      <c r="K142" s="4">
        <v>29420090</v>
      </c>
      <c r="L142" s="3" t="s">
        <v>199</v>
      </c>
      <c r="M142" s="3" t="s">
        <v>195</v>
      </c>
      <c r="N142" s="5">
        <f t="shared" si="2"/>
        <v>18</v>
      </c>
    </row>
    <row r="143" spans="1:14" ht="14.4" x14ac:dyDescent="0.3">
      <c r="A143" s="3" t="s">
        <v>572</v>
      </c>
      <c r="B143" s="3" t="s">
        <v>94</v>
      </c>
      <c r="C143" s="3" t="s">
        <v>26</v>
      </c>
      <c r="D143" s="3" t="s">
        <v>95</v>
      </c>
      <c r="E143" s="3" t="s">
        <v>22</v>
      </c>
      <c r="F143" s="3" t="s">
        <v>573</v>
      </c>
      <c r="G143" s="3" t="s">
        <v>3374</v>
      </c>
      <c r="H143" s="7">
        <v>44938</v>
      </c>
      <c r="I143" s="6">
        <v>46285.5</v>
      </c>
      <c r="J143" s="6">
        <v>8331.4</v>
      </c>
      <c r="K143" s="4">
        <v>48192090</v>
      </c>
      <c r="L143" s="3" t="s">
        <v>97</v>
      </c>
      <c r="M143" s="3" t="s">
        <v>36</v>
      </c>
      <c r="N143" s="5">
        <f t="shared" si="2"/>
        <v>18.000021605038295</v>
      </c>
    </row>
    <row r="144" spans="1:14" ht="14.4" x14ac:dyDescent="0.3">
      <c r="A144" s="3" t="s">
        <v>574</v>
      </c>
      <c r="B144" s="3" t="s">
        <v>575</v>
      </c>
      <c r="C144" s="3" t="s">
        <v>576</v>
      </c>
      <c r="D144" s="3" t="s">
        <v>577</v>
      </c>
      <c r="E144" s="3" t="s">
        <v>396</v>
      </c>
      <c r="F144" s="3" t="s">
        <v>578</v>
      </c>
      <c r="G144" s="3" t="s">
        <v>3375</v>
      </c>
      <c r="H144" s="7">
        <v>44937</v>
      </c>
      <c r="I144" s="6">
        <v>35000</v>
      </c>
      <c r="J144" s="6">
        <v>6300</v>
      </c>
      <c r="K144" s="4">
        <v>39123929</v>
      </c>
      <c r="L144" s="3" t="s">
        <v>579</v>
      </c>
      <c r="M144" s="3" t="s">
        <v>92</v>
      </c>
      <c r="N144" s="5">
        <f t="shared" si="2"/>
        <v>18</v>
      </c>
    </row>
    <row r="145" spans="1:14" ht="14.4" x14ac:dyDescent="0.3">
      <c r="A145" s="3" t="s">
        <v>580</v>
      </c>
      <c r="B145" s="3" t="s">
        <v>161</v>
      </c>
      <c r="C145" s="3" t="s">
        <v>56</v>
      </c>
      <c r="D145" s="3" t="s">
        <v>57</v>
      </c>
      <c r="E145" s="3" t="s">
        <v>162</v>
      </c>
      <c r="F145" s="3" t="s">
        <v>581</v>
      </c>
      <c r="G145" s="3" t="s">
        <v>3376</v>
      </c>
      <c r="H145" s="7">
        <v>44932</v>
      </c>
      <c r="I145" s="6">
        <v>126813.38</v>
      </c>
      <c r="J145" s="6">
        <v>22826.400000000001</v>
      </c>
      <c r="K145" s="4">
        <v>29420090</v>
      </c>
      <c r="L145" s="3" t="s">
        <v>260</v>
      </c>
      <c r="M145" s="3" t="s">
        <v>36</v>
      </c>
      <c r="N145" s="5">
        <f t="shared" si="2"/>
        <v>17.999993376093279</v>
      </c>
    </row>
    <row r="146" spans="1:14" ht="14.4" x14ac:dyDescent="0.3">
      <c r="A146" s="3" t="s">
        <v>582</v>
      </c>
      <c r="B146" s="3" t="s">
        <v>94</v>
      </c>
      <c r="C146" s="3" t="s">
        <v>26</v>
      </c>
      <c r="D146" s="3" t="s">
        <v>95</v>
      </c>
      <c r="E146" s="3" t="s">
        <v>22</v>
      </c>
      <c r="F146" s="3" t="s">
        <v>583</v>
      </c>
      <c r="G146" s="3" t="s">
        <v>3377</v>
      </c>
      <c r="H146" s="7">
        <v>44930</v>
      </c>
      <c r="I146" s="6">
        <v>166016.5</v>
      </c>
      <c r="J146" s="6">
        <v>29883</v>
      </c>
      <c r="K146" s="4">
        <v>48192090</v>
      </c>
      <c r="L146" s="3" t="s">
        <v>97</v>
      </c>
      <c r="M146" s="3" t="s">
        <v>195</v>
      </c>
      <c r="N146" s="5">
        <f t="shared" si="2"/>
        <v>18.000018070492992</v>
      </c>
    </row>
    <row r="147" spans="1:14" ht="14.4" x14ac:dyDescent="0.3">
      <c r="A147" s="3" t="s">
        <v>584</v>
      </c>
      <c r="B147" s="3" t="s">
        <v>585</v>
      </c>
      <c r="C147" s="3" t="s">
        <v>586</v>
      </c>
      <c r="D147" s="3" t="s">
        <v>587</v>
      </c>
      <c r="E147" s="3" t="s">
        <v>588</v>
      </c>
      <c r="F147" s="3" t="s">
        <v>589</v>
      </c>
      <c r="G147" s="3">
        <v>2332</v>
      </c>
      <c r="H147" s="7">
        <v>44956</v>
      </c>
      <c r="I147" s="6">
        <v>63460.800000000003</v>
      </c>
      <c r="J147" s="6">
        <v>11422.94</v>
      </c>
      <c r="K147" s="4">
        <v>72163200</v>
      </c>
      <c r="L147" s="3" t="s">
        <v>590</v>
      </c>
      <c r="M147" s="3" t="s">
        <v>591</v>
      </c>
      <c r="N147" s="5">
        <f t="shared" si="2"/>
        <v>17.99999369689635</v>
      </c>
    </row>
    <row r="148" spans="1:14" ht="14.4" x14ac:dyDescent="0.3">
      <c r="A148" s="3" t="s">
        <v>592</v>
      </c>
      <c r="B148" s="3" t="s">
        <v>593</v>
      </c>
      <c r="C148" s="3" t="s">
        <v>20</v>
      </c>
      <c r="D148" s="3" t="s">
        <v>594</v>
      </c>
      <c r="E148" s="3" t="s">
        <v>22</v>
      </c>
      <c r="F148" s="3" t="s">
        <v>595</v>
      </c>
      <c r="G148" s="3" t="s">
        <v>3378</v>
      </c>
      <c r="H148" s="7">
        <v>44926</v>
      </c>
      <c r="I148" s="6">
        <v>157500</v>
      </c>
      <c r="J148" s="6">
        <v>28350</v>
      </c>
      <c r="K148" s="4">
        <v>29411020</v>
      </c>
      <c r="L148" s="3" t="s">
        <v>596</v>
      </c>
      <c r="M148" s="3" t="s">
        <v>597</v>
      </c>
      <c r="N148" s="5">
        <f t="shared" si="2"/>
        <v>18</v>
      </c>
    </row>
    <row r="149" spans="1:14" ht="14.4" x14ac:dyDescent="0.3">
      <c r="A149" s="3" t="s">
        <v>598</v>
      </c>
      <c r="B149" s="3" t="s">
        <v>161</v>
      </c>
      <c r="C149" s="3" t="s">
        <v>56</v>
      </c>
      <c r="D149" s="3" t="s">
        <v>57</v>
      </c>
      <c r="E149" s="3" t="s">
        <v>162</v>
      </c>
      <c r="F149" s="3" t="s">
        <v>599</v>
      </c>
      <c r="G149" s="3" t="s">
        <v>3379</v>
      </c>
      <c r="H149" s="7">
        <v>44957</v>
      </c>
      <c r="I149" s="6">
        <v>2211105</v>
      </c>
      <c r="J149" s="6">
        <v>397998.9</v>
      </c>
      <c r="K149" s="4">
        <v>29419090</v>
      </c>
      <c r="L149" s="3" t="s">
        <v>600</v>
      </c>
      <c r="M149" s="3" t="s">
        <v>107</v>
      </c>
      <c r="N149" s="5">
        <f t="shared" si="2"/>
        <v>18</v>
      </c>
    </row>
    <row r="150" spans="1:14" ht="14.4" x14ac:dyDescent="0.3">
      <c r="A150" s="3" t="s">
        <v>601</v>
      </c>
      <c r="B150" s="3" t="s">
        <v>55</v>
      </c>
      <c r="C150" s="3" t="s">
        <v>56</v>
      </c>
      <c r="D150" s="3" t="s">
        <v>57</v>
      </c>
      <c r="E150" s="3" t="s">
        <v>22</v>
      </c>
      <c r="F150" s="3" t="s">
        <v>602</v>
      </c>
      <c r="G150" s="3" t="s">
        <v>3380</v>
      </c>
      <c r="H150" s="7">
        <v>44949</v>
      </c>
      <c r="I150" s="6">
        <v>165700</v>
      </c>
      <c r="J150" s="6">
        <v>29826</v>
      </c>
      <c r="K150" s="4">
        <v>29333990</v>
      </c>
      <c r="L150" s="3"/>
      <c r="M150" s="3" t="s">
        <v>36</v>
      </c>
      <c r="N150" s="5">
        <f t="shared" si="2"/>
        <v>18</v>
      </c>
    </row>
    <row r="151" spans="1:14" ht="14.4" x14ac:dyDescent="0.3">
      <c r="A151" s="3" t="s">
        <v>603</v>
      </c>
      <c r="B151" s="3" t="s">
        <v>166</v>
      </c>
      <c r="C151" s="3" t="s">
        <v>20</v>
      </c>
      <c r="D151" s="3" t="s">
        <v>167</v>
      </c>
      <c r="E151" s="3" t="s">
        <v>22</v>
      </c>
      <c r="F151" s="3" t="s">
        <v>604</v>
      </c>
      <c r="G151" s="3">
        <v>631</v>
      </c>
      <c r="H151" s="7">
        <v>44940</v>
      </c>
      <c r="I151" s="6">
        <v>45467</v>
      </c>
      <c r="J151" s="6">
        <v>8184.06</v>
      </c>
      <c r="K151" s="4">
        <v>76071995</v>
      </c>
      <c r="L151" s="3" t="s">
        <v>169</v>
      </c>
      <c r="M151" s="3" t="s">
        <v>195</v>
      </c>
      <c r="N151" s="5">
        <f t="shared" si="2"/>
        <v>18</v>
      </c>
    </row>
    <row r="152" spans="1:14" ht="14.4" x14ac:dyDescent="0.3">
      <c r="A152" s="3" t="s">
        <v>605</v>
      </c>
      <c r="B152" s="3" t="s">
        <v>161</v>
      </c>
      <c r="C152" s="3" t="s">
        <v>56</v>
      </c>
      <c r="D152" s="3" t="s">
        <v>57</v>
      </c>
      <c r="E152" s="3" t="s">
        <v>162</v>
      </c>
      <c r="F152" s="3" t="s">
        <v>606</v>
      </c>
      <c r="G152" s="3" t="s">
        <v>3381</v>
      </c>
      <c r="H152" s="7">
        <v>44939</v>
      </c>
      <c r="I152" s="6">
        <v>291395.63</v>
      </c>
      <c r="J152" s="6">
        <v>52451.22</v>
      </c>
      <c r="K152" s="4">
        <v>29420090</v>
      </c>
      <c r="L152" s="3" t="s">
        <v>260</v>
      </c>
      <c r="M152" s="3" t="s">
        <v>36</v>
      </c>
      <c r="N152" s="5">
        <f t="shared" si="2"/>
        <v>18.0000022649619</v>
      </c>
    </row>
    <row r="153" spans="1:14" ht="14.4" x14ac:dyDescent="0.3">
      <c r="A153" s="3" t="s">
        <v>607</v>
      </c>
      <c r="B153" s="3" t="s">
        <v>94</v>
      </c>
      <c r="C153" s="3" t="s">
        <v>26</v>
      </c>
      <c r="D153" s="3" t="s">
        <v>95</v>
      </c>
      <c r="E153" s="3" t="s">
        <v>22</v>
      </c>
      <c r="F153" s="3" t="s">
        <v>608</v>
      </c>
      <c r="G153" s="3" t="s">
        <v>3382</v>
      </c>
      <c r="H153" s="7">
        <v>44937</v>
      </c>
      <c r="I153" s="6">
        <v>46437.5</v>
      </c>
      <c r="J153" s="6">
        <v>8358.76</v>
      </c>
      <c r="K153" s="4">
        <v>48192090</v>
      </c>
      <c r="L153" s="3" t="s">
        <v>97</v>
      </c>
      <c r="M153" s="3" t="s">
        <v>36</v>
      </c>
      <c r="N153" s="5">
        <f t="shared" si="2"/>
        <v>18.000021534320322</v>
      </c>
    </row>
    <row r="154" spans="1:14" ht="14.4" x14ac:dyDescent="0.3">
      <c r="A154" s="3" t="s">
        <v>609</v>
      </c>
      <c r="B154" s="3" t="s">
        <v>78</v>
      </c>
      <c r="C154" s="3" t="s">
        <v>26</v>
      </c>
      <c r="D154" s="3" t="s">
        <v>79</v>
      </c>
      <c r="E154" s="3" t="s">
        <v>80</v>
      </c>
      <c r="F154" s="3" t="s">
        <v>610</v>
      </c>
      <c r="G154" s="3">
        <v>11869</v>
      </c>
      <c r="H154" s="7">
        <v>44936</v>
      </c>
      <c r="I154" s="6">
        <v>99296.2</v>
      </c>
      <c r="J154" s="6">
        <v>17873.32</v>
      </c>
      <c r="K154" s="4">
        <v>39239090</v>
      </c>
      <c r="L154" s="3" t="s">
        <v>611</v>
      </c>
      <c r="M154" s="3" t="s">
        <v>467</v>
      </c>
      <c r="N154" s="5">
        <f t="shared" si="2"/>
        <v>18.00000402835154</v>
      </c>
    </row>
    <row r="155" spans="1:14" ht="14.4" x14ac:dyDescent="0.3">
      <c r="A155" s="3" t="s">
        <v>612</v>
      </c>
      <c r="B155" s="3" t="s">
        <v>133</v>
      </c>
      <c r="C155" s="3" t="s">
        <v>134</v>
      </c>
      <c r="D155" s="3" t="s">
        <v>613</v>
      </c>
      <c r="E155" s="3" t="s">
        <v>136</v>
      </c>
      <c r="F155" s="3" t="s">
        <v>614</v>
      </c>
      <c r="G155" s="3" t="s">
        <v>3383</v>
      </c>
      <c r="H155" s="7">
        <v>44934</v>
      </c>
      <c r="I155" s="6">
        <v>220500</v>
      </c>
      <c r="J155" s="6">
        <v>11025</v>
      </c>
      <c r="K155" s="4">
        <v>17011490</v>
      </c>
      <c r="L155" s="3" t="s">
        <v>138</v>
      </c>
      <c r="M155" s="3" t="s">
        <v>615</v>
      </c>
      <c r="N155" s="5">
        <f t="shared" si="2"/>
        <v>5</v>
      </c>
    </row>
    <row r="156" spans="1:14" ht="14.4" x14ac:dyDescent="0.3">
      <c r="A156" s="3" t="s">
        <v>616</v>
      </c>
      <c r="B156" s="3" t="s">
        <v>197</v>
      </c>
      <c r="C156" s="3" t="s">
        <v>20</v>
      </c>
      <c r="D156" s="3" t="s">
        <v>57</v>
      </c>
      <c r="E156" s="3" t="s">
        <v>22</v>
      </c>
      <c r="F156" s="3" t="s">
        <v>617</v>
      </c>
      <c r="G156" s="3" t="s">
        <v>3384</v>
      </c>
      <c r="H156" s="7">
        <v>44926</v>
      </c>
      <c r="I156" s="6">
        <v>285000</v>
      </c>
      <c r="J156" s="6">
        <v>51300</v>
      </c>
      <c r="K156" s="4">
        <v>29420090</v>
      </c>
      <c r="L156" s="3" t="s">
        <v>199</v>
      </c>
      <c r="M156" s="3" t="s">
        <v>36</v>
      </c>
      <c r="N156" s="5">
        <f t="shared" si="2"/>
        <v>18</v>
      </c>
    </row>
    <row r="157" spans="1:14" ht="14.4" x14ac:dyDescent="0.3">
      <c r="A157" s="3" t="s">
        <v>618</v>
      </c>
      <c r="B157" s="3" t="s">
        <v>55</v>
      </c>
      <c r="C157" s="3" t="s">
        <v>56</v>
      </c>
      <c r="D157" s="3" t="s">
        <v>57</v>
      </c>
      <c r="E157" s="3" t="s">
        <v>22</v>
      </c>
      <c r="F157" s="3" t="s">
        <v>619</v>
      </c>
      <c r="G157" s="3" t="s">
        <v>3385</v>
      </c>
      <c r="H157" s="7">
        <v>44954</v>
      </c>
      <c r="I157" s="6">
        <v>93800</v>
      </c>
      <c r="J157" s="6">
        <v>16884</v>
      </c>
      <c r="K157" s="4">
        <v>96020030</v>
      </c>
      <c r="L157" s="3"/>
      <c r="M157" s="3" t="s">
        <v>36</v>
      </c>
      <c r="N157" s="5">
        <f t="shared" si="2"/>
        <v>18</v>
      </c>
    </row>
    <row r="158" spans="1:14" ht="14.4" x14ac:dyDescent="0.3">
      <c r="A158" s="3" t="s">
        <v>620</v>
      </c>
      <c r="B158" s="3" t="s">
        <v>202</v>
      </c>
      <c r="C158" s="3" t="s">
        <v>134</v>
      </c>
      <c r="D158" s="3" t="s">
        <v>203</v>
      </c>
      <c r="E158" s="3" t="s">
        <v>204</v>
      </c>
      <c r="F158" s="3" t="s">
        <v>621</v>
      </c>
      <c r="G158" s="3" t="s">
        <v>3386</v>
      </c>
      <c r="H158" s="7">
        <v>44949</v>
      </c>
      <c r="I158" s="6">
        <v>584231.69999999995</v>
      </c>
      <c r="J158" s="6">
        <v>105161.71</v>
      </c>
      <c r="K158" s="4">
        <v>76071994</v>
      </c>
      <c r="L158" s="3" t="s">
        <v>206</v>
      </c>
      <c r="M158" s="3" t="s">
        <v>622</v>
      </c>
      <c r="N158" s="5">
        <f t="shared" si="2"/>
        <v>18.00000068465987</v>
      </c>
    </row>
    <row r="159" spans="1:14" ht="14.4" x14ac:dyDescent="0.3">
      <c r="A159" s="3" t="s">
        <v>623</v>
      </c>
      <c r="B159" s="3" t="s">
        <v>94</v>
      </c>
      <c r="C159" s="3" t="s">
        <v>26</v>
      </c>
      <c r="D159" s="3" t="s">
        <v>95</v>
      </c>
      <c r="E159" s="3" t="s">
        <v>22</v>
      </c>
      <c r="F159" s="3" t="s">
        <v>624</v>
      </c>
      <c r="G159" s="3" t="s">
        <v>3387</v>
      </c>
      <c r="H159" s="7">
        <v>44942</v>
      </c>
      <c r="I159" s="6">
        <v>53048.6</v>
      </c>
      <c r="J159" s="6">
        <v>9548.74</v>
      </c>
      <c r="K159" s="4">
        <v>48192090</v>
      </c>
      <c r="L159" s="3" t="s">
        <v>97</v>
      </c>
      <c r="M159" s="3" t="s">
        <v>625</v>
      </c>
      <c r="N159" s="5">
        <f t="shared" si="2"/>
        <v>17.999984919488924</v>
      </c>
    </row>
    <row r="160" spans="1:14" ht="14.4" x14ac:dyDescent="0.3">
      <c r="A160" s="3" t="s">
        <v>626</v>
      </c>
      <c r="B160" s="3" t="s">
        <v>182</v>
      </c>
      <c r="C160" s="3" t="s">
        <v>20</v>
      </c>
      <c r="D160" s="3" t="s">
        <v>167</v>
      </c>
      <c r="E160" s="3" t="s">
        <v>22</v>
      </c>
      <c r="F160" s="3" t="s">
        <v>627</v>
      </c>
      <c r="G160" s="3" t="s">
        <v>3388</v>
      </c>
      <c r="H160" s="7">
        <v>44940</v>
      </c>
      <c r="I160" s="6">
        <v>96000</v>
      </c>
      <c r="J160" s="6">
        <v>17280</v>
      </c>
      <c r="K160" s="4">
        <v>29051220</v>
      </c>
      <c r="L160" s="3" t="s">
        <v>628</v>
      </c>
      <c r="M160" s="3" t="s">
        <v>195</v>
      </c>
      <c r="N160" s="5">
        <f t="shared" si="2"/>
        <v>18</v>
      </c>
    </row>
    <row r="161" spans="1:14" ht="14.4" x14ac:dyDescent="0.3">
      <c r="A161" s="3" t="s">
        <v>629</v>
      </c>
      <c r="B161" s="3" t="s">
        <v>84</v>
      </c>
      <c r="C161" s="3" t="s">
        <v>20</v>
      </c>
      <c r="D161" s="3" t="s">
        <v>85</v>
      </c>
      <c r="E161" s="3" t="s">
        <v>22</v>
      </c>
      <c r="F161" s="3" t="s">
        <v>630</v>
      </c>
      <c r="G161" s="3" t="s">
        <v>3389</v>
      </c>
      <c r="H161" s="7">
        <v>44937</v>
      </c>
      <c r="I161" s="6">
        <v>65226.3</v>
      </c>
      <c r="J161" s="6">
        <v>11740.73</v>
      </c>
      <c r="K161" s="4">
        <v>3921</v>
      </c>
      <c r="L161" s="3" t="s">
        <v>631</v>
      </c>
      <c r="M161" s="3" t="s">
        <v>436</v>
      </c>
      <c r="N161" s="5">
        <f t="shared" si="2"/>
        <v>17.999993867504365</v>
      </c>
    </row>
    <row r="162" spans="1:14" ht="14.4" x14ac:dyDescent="0.3">
      <c r="A162" s="3" t="s">
        <v>632</v>
      </c>
      <c r="B162" s="3" t="s">
        <v>84</v>
      </c>
      <c r="C162" s="3" t="s">
        <v>20</v>
      </c>
      <c r="D162" s="3" t="s">
        <v>239</v>
      </c>
      <c r="E162" s="3" t="s">
        <v>22</v>
      </c>
      <c r="F162" s="3" t="s">
        <v>633</v>
      </c>
      <c r="G162" s="3" t="s">
        <v>3390</v>
      </c>
      <c r="H162" s="7">
        <v>44937</v>
      </c>
      <c r="I162" s="6">
        <v>65226.3</v>
      </c>
      <c r="J162" s="6">
        <v>11740.73</v>
      </c>
      <c r="K162" s="4">
        <v>3921</v>
      </c>
      <c r="L162" s="3" t="s">
        <v>118</v>
      </c>
      <c r="M162" s="3" t="s">
        <v>634</v>
      </c>
      <c r="N162" s="5">
        <f t="shared" si="2"/>
        <v>17.999993867504365</v>
      </c>
    </row>
    <row r="163" spans="1:14" ht="14.4" x14ac:dyDescent="0.3">
      <c r="A163" s="3" t="s">
        <v>635</v>
      </c>
      <c r="B163" s="3" t="s">
        <v>94</v>
      </c>
      <c r="C163" s="3" t="s">
        <v>26</v>
      </c>
      <c r="D163" s="3" t="s">
        <v>95</v>
      </c>
      <c r="E163" s="3" t="s">
        <v>22</v>
      </c>
      <c r="F163" s="3" t="s">
        <v>636</v>
      </c>
      <c r="G163" s="3" t="s">
        <v>3391</v>
      </c>
      <c r="H163" s="7">
        <v>44932</v>
      </c>
      <c r="I163" s="6">
        <v>107539.75</v>
      </c>
      <c r="J163" s="6">
        <v>19357.16</v>
      </c>
      <c r="K163" s="4">
        <v>48192090</v>
      </c>
      <c r="L163" s="3" t="s">
        <v>97</v>
      </c>
      <c r="M163" s="3" t="s">
        <v>36</v>
      </c>
      <c r="N163" s="5">
        <f t="shared" si="2"/>
        <v>18.000004649443579</v>
      </c>
    </row>
    <row r="164" spans="1:14" ht="14.4" x14ac:dyDescent="0.3">
      <c r="A164" s="3" t="s">
        <v>637</v>
      </c>
      <c r="B164" s="3" t="s">
        <v>124</v>
      </c>
      <c r="C164" s="3" t="s">
        <v>20</v>
      </c>
      <c r="D164" s="3" t="s">
        <v>125</v>
      </c>
      <c r="E164" s="3" t="s">
        <v>22</v>
      </c>
      <c r="F164" s="3" t="s">
        <v>638</v>
      </c>
      <c r="G164" s="3" t="s">
        <v>3392</v>
      </c>
      <c r="H164" s="7">
        <v>44930</v>
      </c>
      <c r="I164" s="6">
        <v>154987.5</v>
      </c>
      <c r="J164" s="6">
        <v>27897.759999999998</v>
      </c>
      <c r="K164" s="4">
        <v>48192020</v>
      </c>
      <c r="L164" s="3"/>
      <c r="M164" s="3" t="s">
        <v>195</v>
      </c>
      <c r="N164" s="5">
        <f t="shared" si="2"/>
        <v>18.000006452133235</v>
      </c>
    </row>
    <row r="165" spans="1:14" ht="14.4" x14ac:dyDescent="0.3">
      <c r="A165" s="3" t="s">
        <v>639</v>
      </c>
      <c r="B165" s="3" t="s">
        <v>575</v>
      </c>
      <c r="C165" s="3" t="s">
        <v>576</v>
      </c>
      <c r="D165" s="3" t="s">
        <v>577</v>
      </c>
      <c r="E165" s="3" t="s">
        <v>396</v>
      </c>
      <c r="F165" s="3" t="s">
        <v>640</v>
      </c>
      <c r="G165" s="3" t="s">
        <v>3393</v>
      </c>
      <c r="H165" s="7">
        <v>44936</v>
      </c>
      <c r="I165" s="6">
        <v>47700</v>
      </c>
      <c r="J165" s="6">
        <v>8586</v>
      </c>
      <c r="K165" s="4">
        <v>29362690</v>
      </c>
      <c r="L165" s="3" t="s">
        <v>641</v>
      </c>
      <c r="M165" s="3" t="s">
        <v>467</v>
      </c>
      <c r="N165" s="5">
        <f t="shared" si="2"/>
        <v>18</v>
      </c>
    </row>
    <row r="166" spans="1:14" ht="14.4" x14ac:dyDescent="0.3">
      <c r="A166" s="3" t="s">
        <v>642</v>
      </c>
      <c r="B166" s="3" t="s">
        <v>315</v>
      </c>
      <c r="C166" s="3" t="s">
        <v>316</v>
      </c>
      <c r="D166" s="3" t="s">
        <v>292</v>
      </c>
      <c r="E166" s="3" t="s">
        <v>317</v>
      </c>
      <c r="F166" s="3" t="s">
        <v>643</v>
      </c>
      <c r="G166" s="3" t="s">
        <v>3394</v>
      </c>
      <c r="H166" s="7">
        <v>44954</v>
      </c>
      <c r="I166" s="6">
        <v>156800</v>
      </c>
      <c r="J166" s="6">
        <v>28224</v>
      </c>
      <c r="K166" s="4">
        <v>29339900</v>
      </c>
      <c r="L166" s="3"/>
      <c r="M166" s="3" t="s">
        <v>644</v>
      </c>
      <c r="N166" s="5">
        <f t="shared" si="2"/>
        <v>18</v>
      </c>
    </row>
    <row r="167" spans="1:14" ht="14.4" x14ac:dyDescent="0.3">
      <c r="A167" s="3" t="s">
        <v>645</v>
      </c>
      <c r="B167" s="3" t="s">
        <v>315</v>
      </c>
      <c r="C167" s="3" t="s">
        <v>316</v>
      </c>
      <c r="D167" s="3" t="s">
        <v>292</v>
      </c>
      <c r="E167" s="3" t="s">
        <v>317</v>
      </c>
      <c r="F167" s="3" t="s">
        <v>646</v>
      </c>
      <c r="G167" s="3" t="s">
        <v>3395</v>
      </c>
      <c r="H167" s="7">
        <v>44940</v>
      </c>
      <c r="I167" s="6">
        <v>72000</v>
      </c>
      <c r="J167" s="6">
        <v>12960</v>
      </c>
      <c r="K167" s="4">
        <v>29225090</v>
      </c>
      <c r="L167" s="3"/>
      <c r="M167" s="3" t="s">
        <v>647</v>
      </c>
      <c r="N167" s="5">
        <f t="shared" si="2"/>
        <v>18</v>
      </c>
    </row>
    <row r="168" spans="1:14" ht="14.4" x14ac:dyDescent="0.3">
      <c r="A168" s="3" t="s">
        <v>648</v>
      </c>
      <c r="B168" s="3" t="s">
        <v>315</v>
      </c>
      <c r="C168" s="3" t="s">
        <v>316</v>
      </c>
      <c r="D168" s="3" t="s">
        <v>292</v>
      </c>
      <c r="E168" s="3" t="s">
        <v>317</v>
      </c>
      <c r="F168" s="3" t="s">
        <v>649</v>
      </c>
      <c r="G168" s="3" t="s">
        <v>3396</v>
      </c>
      <c r="H168" s="7">
        <v>44928</v>
      </c>
      <c r="I168" s="6">
        <v>65000</v>
      </c>
      <c r="J168" s="6">
        <v>11700</v>
      </c>
      <c r="K168" s="4">
        <v>29225090</v>
      </c>
      <c r="L168" s="3"/>
      <c r="M168" s="3" t="s">
        <v>650</v>
      </c>
      <c r="N168" s="5">
        <f t="shared" si="2"/>
        <v>18</v>
      </c>
    </row>
    <row r="169" spans="1:14" ht="14.4" x14ac:dyDescent="0.3">
      <c r="A169" s="3" t="s">
        <v>651</v>
      </c>
      <c r="B169" s="3" t="s">
        <v>315</v>
      </c>
      <c r="C169" s="3" t="s">
        <v>316</v>
      </c>
      <c r="D169" s="3" t="s">
        <v>292</v>
      </c>
      <c r="E169" s="3" t="s">
        <v>317</v>
      </c>
      <c r="F169" s="3" t="s">
        <v>652</v>
      </c>
      <c r="G169" s="3" t="s">
        <v>3397</v>
      </c>
      <c r="H169" s="7">
        <v>44954</v>
      </c>
      <c r="I169" s="6">
        <v>222500</v>
      </c>
      <c r="J169" s="6">
        <v>40050</v>
      </c>
      <c r="K169" s="4">
        <v>29332990</v>
      </c>
      <c r="L169" s="3"/>
      <c r="M169" s="3" t="s">
        <v>644</v>
      </c>
      <c r="N169" s="5">
        <f t="shared" si="2"/>
        <v>18</v>
      </c>
    </row>
    <row r="170" spans="1:14" ht="14.4" x14ac:dyDescent="0.3">
      <c r="A170" s="3" t="s">
        <v>653</v>
      </c>
      <c r="B170" s="3" t="s">
        <v>345</v>
      </c>
      <c r="C170" s="3" t="s">
        <v>346</v>
      </c>
      <c r="D170" s="3" t="s">
        <v>347</v>
      </c>
      <c r="E170" s="3" t="s">
        <v>348</v>
      </c>
      <c r="F170" s="3" t="s">
        <v>654</v>
      </c>
      <c r="G170" s="3">
        <v>2037</v>
      </c>
      <c r="H170" s="7">
        <v>44943</v>
      </c>
      <c r="I170" s="6">
        <v>83413.899999999994</v>
      </c>
      <c r="J170" s="6">
        <v>15015</v>
      </c>
      <c r="K170" s="4">
        <v>29339900</v>
      </c>
      <c r="L170" s="3"/>
      <c r="M170" s="3" t="s">
        <v>597</v>
      </c>
      <c r="N170" s="5">
        <f t="shared" si="2"/>
        <v>18.00059702279836</v>
      </c>
    </row>
    <row r="171" spans="1:14" ht="14.4" x14ac:dyDescent="0.3">
      <c r="A171" s="3" t="s">
        <v>655</v>
      </c>
      <c r="B171" s="3" t="s">
        <v>656</v>
      </c>
      <c r="C171" s="3" t="s">
        <v>20</v>
      </c>
      <c r="D171" s="3" t="s">
        <v>292</v>
      </c>
      <c r="E171" s="3" t="s">
        <v>188</v>
      </c>
      <c r="F171" s="3" t="s">
        <v>657</v>
      </c>
      <c r="G171" s="3">
        <v>553</v>
      </c>
      <c r="H171" s="7">
        <v>44944</v>
      </c>
      <c r="I171" s="6">
        <v>53500</v>
      </c>
      <c r="J171" s="6">
        <v>2675</v>
      </c>
      <c r="K171" s="4">
        <v>29419090</v>
      </c>
      <c r="L171" s="3" t="s">
        <v>199</v>
      </c>
      <c r="M171" s="3" t="s">
        <v>32</v>
      </c>
      <c r="N171" s="5">
        <f t="shared" si="2"/>
        <v>5</v>
      </c>
    </row>
    <row r="172" spans="1:14" ht="14.4" x14ac:dyDescent="0.3">
      <c r="A172" s="3" t="s">
        <v>658</v>
      </c>
      <c r="B172" s="3" t="s">
        <v>659</v>
      </c>
      <c r="C172" s="3" t="s">
        <v>660</v>
      </c>
      <c r="D172" s="3" t="s">
        <v>372</v>
      </c>
      <c r="E172" s="3" t="s">
        <v>80</v>
      </c>
      <c r="F172" s="3" t="s">
        <v>661</v>
      </c>
      <c r="G172" s="3" t="s">
        <v>3398</v>
      </c>
      <c r="H172" s="7">
        <v>44935</v>
      </c>
      <c r="I172" s="6">
        <v>264000</v>
      </c>
      <c r="J172" s="6">
        <v>47520</v>
      </c>
      <c r="K172" s="4">
        <v>29333990</v>
      </c>
      <c r="L172" s="3" t="s">
        <v>662</v>
      </c>
      <c r="M172" s="3" t="s">
        <v>280</v>
      </c>
      <c r="N172" s="5">
        <f t="shared" si="2"/>
        <v>18</v>
      </c>
    </row>
    <row r="173" spans="1:14" ht="14.4" x14ac:dyDescent="0.3">
      <c r="A173" s="3" t="s">
        <v>663</v>
      </c>
      <c r="B173" s="3" t="s">
        <v>664</v>
      </c>
      <c r="C173" s="3" t="s">
        <v>20</v>
      </c>
      <c r="D173" s="3" t="s">
        <v>665</v>
      </c>
      <c r="E173" s="3" t="s">
        <v>587</v>
      </c>
      <c r="F173" s="3" t="s">
        <v>666</v>
      </c>
      <c r="G173" s="3" t="s">
        <v>3399</v>
      </c>
      <c r="H173" s="7">
        <v>44930</v>
      </c>
      <c r="I173" s="6">
        <v>115497</v>
      </c>
      <c r="J173" s="6">
        <v>13859.64</v>
      </c>
      <c r="K173" s="4">
        <v>30042039</v>
      </c>
      <c r="L173" s="3" t="s">
        <v>667</v>
      </c>
      <c r="M173" s="3" t="s">
        <v>516</v>
      </c>
      <c r="N173" s="5">
        <f t="shared" si="2"/>
        <v>12</v>
      </c>
    </row>
    <row r="174" spans="1:14" ht="14.4" x14ac:dyDescent="0.3">
      <c r="A174" s="3" t="s">
        <v>668</v>
      </c>
      <c r="B174" s="3" t="s">
        <v>315</v>
      </c>
      <c r="C174" s="3" t="s">
        <v>316</v>
      </c>
      <c r="D174" s="3" t="s">
        <v>292</v>
      </c>
      <c r="E174" s="3" t="s">
        <v>317</v>
      </c>
      <c r="F174" s="3" t="s">
        <v>669</v>
      </c>
      <c r="G174" s="3" t="s">
        <v>3400</v>
      </c>
      <c r="H174" s="7">
        <v>44928</v>
      </c>
      <c r="I174" s="6">
        <v>97500</v>
      </c>
      <c r="J174" s="6">
        <v>17550</v>
      </c>
      <c r="K174" s="4">
        <v>29225090</v>
      </c>
      <c r="L174" s="3"/>
      <c r="M174" s="3" t="s">
        <v>36</v>
      </c>
      <c r="N174" s="5">
        <f t="shared" si="2"/>
        <v>18</v>
      </c>
    </row>
    <row r="175" spans="1:14" ht="14.4" x14ac:dyDescent="0.3">
      <c r="A175" s="3" t="s">
        <v>670</v>
      </c>
      <c r="B175" s="3" t="s">
        <v>671</v>
      </c>
      <c r="C175" s="3" t="s">
        <v>672</v>
      </c>
      <c r="D175" s="3" t="s">
        <v>347</v>
      </c>
      <c r="E175" s="3" t="s">
        <v>80</v>
      </c>
      <c r="F175" s="3" t="s">
        <v>673</v>
      </c>
      <c r="G175" s="3" t="s">
        <v>3401</v>
      </c>
      <c r="H175" s="7">
        <v>44923</v>
      </c>
      <c r="I175" s="6">
        <v>53794</v>
      </c>
      <c r="J175" s="6">
        <v>9682.92</v>
      </c>
      <c r="K175" s="4">
        <v>29362210</v>
      </c>
      <c r="L175" s="3" t="s">
        <v>674</v>
      </c>
      <c r="M175" s="3" t="s">
        <v>675</v>
      </c>
      <c r="N175" s="5">
        <f t="shared" si="2"/>
        <v>18</v>
      </c>
    </row>
    <row r="176" spans="1:14" ht="14.4" x14ac:dyDescent="0.3">
      <c r="A176" s="3" t="s">
        <v>676</v>
      </c>
      <c r="B176" s="3" t="s">
        <v>677</v>
      </c>
      <c r="C176" s="3" t="s">
        <v>134</v>
      </c>
      <c r="D176" s="3" t="s">
        <v>678</v>
      </c>
      <c r="E176" s="3" t="s">
        <v>22</v>
      </c>
      <c r="F176" s="3" t="s">
        <v>679</v>
      </c>
      <c r="G176" s="3" t="s">
        <v>3402</v>
      </c>
      <c r="H176" s="7">
        <v>44960</v>
      </c>
      <c r="I176" s="6">
        <v>80338.27</v>
      </c>
      <c r="J176" s="6">
        <v>14460.89</v>
      </c>
      <c r="K176" s="4">
        <v>29339990</v>
      </c>
      <c r="L176" s="3" t="s">
        <v>680</v>
      </c>
      <c r="M176" s="3" t="s">
        <v>681</v>
      </c>
      <c r="N176" s="5">
        <f t="shared" si="2"/>
        <v>18.0000017426315</v>
      </c>
    </row>
    <row r="177" spans="1:14" ht="14.4" x14ac:dyDescent="0.3">
      <c r="A177" s="3" t="s">
        <v>682</v>
      </c>
      <c r="B177" s="3" t="s">
        <v>336</v>
      </c>
      <c r="C177" s="3" t="s">
        <v>134</v>
      </c>
      <c r="D177" s="3" t="s">
        <v>292</v>
      </c>
      <c r="E177" s="3" t="s">
        <v>188</v>
      </c>
      <c r="F177" s="3" t="s">
        <v>683</v>
      </c>
      <c r="G177" s="3">
        <v>3966</v>
      </c>
      <c r="H177" s="7">
        <v>44972</v>
      </c>
      <c r="I177" s="6">
        <v>60060</v>
      </c>
      <c r="J177" s="6">
        <v>10810.8</v>
      </c>
      <c r="K177" s="4">
        <v>29332990</v>
      </c>
      <c r="L177" s="3" t="s">
        <v>684</v>
      </c>
      <c r="M177" s="3" t="s">
        <v>98</v>
      </c>
      <c r="N177" s="5">
        <f t="shared" si="2"/>
        <v>18</v>
      </c>
    </row>
    <row r="178" spans="1:14" ht="14.4" x14ac:dyDescent="0.3">
      <c r="A178" s="3" t="s">
        <v>685</v>
      </c>
      <c r="B178" s="3" t="s">
        <v>686</v>
      </c>
      <c r="C178" s="3" t="s">
        <v>134</v>
      </c>
      <c r="D178" s="3" t="s">
        <v>687</v>
      </c>
      <c r="E178" s="3" t="s">
        <v>80</v>
      </c>
      <c r="F178" s="3" t="s">
        <v>688</v>
      </c>
      <c r="G178" s="3">
        <v>788</v>
      </c>
      <c r="H178" s="7">
        <v>44964</v>
      </c>
      <c r="I178" s="6">
        <v>414414</v>
      </c>
      <c r="J178" s="6">
        <v>74594.52</v>
      </c>
      <c r="K178" s="4">
        <v>29420090</v>
      </c>
      <c r="L178" s="3"/>
      <c r="M178" s="3"/>
      <c r="N178" s="5">
        <f t="shared" si="2"/>
        <v>18</v>
      </c>
    </row>
    <row r="179" spans="1:14" ht="14.4" x14ac:dyDescent="0.3">
      <c r="A179" s="3" t="s">
        <v>689</v>
      </c>
      <c r="B179" s="3" t="s">
        <v>690</v>
      </c>
      <c r="C179" s="3" t="s">
        <v>691</v>
      </c>
      <c r="D179" s="3" t="s">
        <v>372</v>
      </c>
      <c r="E179" s="3" t="s">
        <v>298</v>
      </c>
      <c r="F179" s="3" t="s">
        <v>692</v>
      </c>
      <c r="G179" s="3" t="s">
        <v>3403</v>
      </c>
      <c r="H179" s="7">
        <v>44968</v>
      </c>
      <c r="I179" s="6">
        <v>278750</v>
      </c>
      <c r="J179" s="6">
        <v>50175</v>
      </c>
      <c r="K179" s="4">
        <v>39059990</v>
      </c>
      <c r="L179" s="3" t="s">
        <v>693</v>
      </c>
      <c r="M179" s="3" t="s">
        <v>98</v>
      </c>
      <c r="N179" s="5">
        <f t="shared" si="2"/>
        <v>18</v>
      </c>
    </row>
    <row r="180" spans="1:14" ht="14.4" x14ac:dyDescent="0.3">
      <c r="A180" s="3" t="s">
        <v>694</v>
      </c>
      <c r="B180" s="3" t="s">
        <v>309</v>
      </c>
      <c r="C180" s="3" t="s">
        <v>310</v>
      </c>
      <c r="D180" s="3" t="s">
        <v>311</v>
      </c>
      <c r="E180" s="3" t="s">
        <v>80</v>
      </c>
      <c r="F180" s="3" t="s">
        <v>695</v>
      </c>
      <c r="G180" s="3" t="s">
        <v>3404</v>
      </c>
      <c r="H180" s="7">
        <v>44963</v>
      </c>
      <c r="I180" s="6">
        <v>207500</v>
      </c>
      <c r="J180" s="6">
        <v>37350</v>
      </c>
      <c r="K180" s="4">
        <v>29335990</v>
      </c>
      <c r="L180" s="3" t="s">
        <v>313</v>
      </c>
      <c r="M180" s="3"/>
      <c r="N180" s="5">
        <f t="shared" si="2"/>
        <v>18</v>
      </c>
    </row>
    <row r="181" spans="1:14" ht="14.4" x14ac:dyDescent="0.3">
      <c r="A181" s="3" t="s">
        <v>696</v>
      </c>
      <c r="B181" s="3" t="s">
        <v>290</v>
      </c>
      <c r="C181" s="3" t="s">
        <v>291</v>
      </c>
      <c r="D181" s="3" t="s">
        <v>292</v>
      </c>
      <c r="E181" s="3" t="s">
        <v>22</v>
      </c>
      <c r="F181" s="3" t="s">
        <v>697</v>
      </c>
      <c r="G181" s="3">
        <v>225445</v>
      </c>
      <c r="H181" s="7">
        <v>44963</v>
      </c>
      <c r="I181" s="6">
        <v>77538.63</v>
      </c>
      <c r="J181" s="6">
        <v>13956.95</v>
      </c>
      <c r="K181" s="4">
        <v>29420090</v>
      </c>
      <c r="L181" s="3"/>
      <c r="M181" s="3" t="s">
        <v>32</v>
      </c>
      <c r="N181" s="5">
        <f t="shared" si="2"/>
        <v>17.999995615088892</v>
      </c>
    </row>
    <row r="182" spans="1:14" ht="14.4" x14ac:dyDescent="0.3">
      <c r="A182" s="3" t="s">
        <v>698</v>
      </c>
      <c r="B182" s="3" t="s">
        <v>295</v>
      </c>
      <c r="C182" s="3" t="s">
        <v>296</v>
      </c>
      <c r="D182" s="3" t="s">
        <v>297</v>
      </c>
      <c r="E182" s="3" t="s">
        <v>298</v>
      </c>
      <c r="F182" s="3" t="s">
        <v>699</v>
      </c>
      <c r="G182" s="3" t="s">
        <v>3405</v>
      </c>
      <c r="H182" s="7">
        <v>44965</v>
      </c>
      <c r="I182" s="6">
        <v>1067500</v>
      </c>
      <c r="J182" s="6">
        <v>192150</v>
      </c>
      <c r="K182" s="4">
        <v>29411030</v>
      </c>
      <c r="L182" s="3" t="s">
        <v>300</v>
      </c>
      <c r="M182" s="3" t="s">
        <v>700</v>
      </c>
      <c r="N182" s="5">
        <f t="shared" si="2"/>
        <v>18</v>
      </c>
    </row>
    <row r="183" spans="1:14" ht="14.4" x14ac:dyDescent="0.3">
      <c r="A183" s="3" t="s">
        <v>701</v>
      </c>
      <c r="B183" s="3" t="s">
        <v>192</v>
      </c>
      <c r="C183" s="3" t="s">
        <v>20</v>
      </c>
      <c r="D183" s="3" t="s">
        <v>193</v>
      </c>
      <c r="E183" s="3" t="s">
        <v>22</v>
      </c>
      <c r="F183" s="3" t="s">
        <v>702</v>
      </c>
      <c r="G183" s="3" t="s">
        <v>3406</v>
      </c>
      <c r="H183" s="7">
        <v>44970</v>
      </c>
      <c r="I183" s="6">
        <v>78654.3</v>
      </c>
      <c r="J183" s="6">
        <v>12818.78</v>
      </c>
      <c r="K183" s="4">
        <v>4819</v>
      </c>
      <c r="L183" s="3"/>
      <c r="M183" s="3" t="s">
        <v>36</v>
      </c>
      <c r="N183" s="5">
        <f t="shared" si="2"/>
        <v>16.297621363358392</v>
      </c>
    </row>
    <row r="184" spans="1:14" ht="14.4" x14ac:dyDescent="0.3">
      <c r="A184" s="3" t="s">
        <v>703</v>
      </c>
      <c r="B184" s="3" t="s">
        <v>94</v>
      </c>
      <c r="C184" s="3" t="s">
        <v>26</v>
      </c>
      <c r="D184" s="3" t="s">
        <v>95</v>
      </c>
      <c r="E184" s="3" t="s">
        <v>22</v>
      </c>
      <c r="F184" s="3" t="s">
        <v>704</v>
      </c>
      <c r="G184" s="3" t="s">
        <v>3407</v>
      </c>
      <c r="H184" s="7">
        <v>44970</v>
      </c>
      <c r="I184" s="6">
        <v>46195</v>
      </c>
      <c r="J184" s="6">
        <v>8315.1</v>
      </c>
      <c r="K184" s="4">
        <v>48192090</v>
      </c>
      <c r="L184" s="3" t="s">
        <v>97</v>
      </c>
      <c r="M184" s="3" t="s">
        <v>36</v>
      </c>
      <c r="N184" s="5">
        <f t="shared" si="2"/>
        <v>18</v>
      </c>
    </row>
    <row r="185" spans="1:14" ht="14.4" x14ac:dyDescent="0.3">
      <c r="A185" s="3" t="s">
        <v>705</v>
      </c>
      <c r="B185" s="3" t="s">
        <v>534</v>
      </c>
      <c r="C185" s="3" t="s">
        <v>535</v>
      </c>
      <c r="D185" s="3" t="s">
        <v>536</v>
      </c>
      <c r="E185" s="3" t="s">
        <v>378</v>
      </c>
      <c r="F185" s="3" t="s">
        <v>706</v>
      </c>
      <c r="G185" s="3" t="s">
        <v>3408</v>
      </c>
      <c r="H185" s="7">
        <v>44963</v>
      </c>
      <c r="I185" s="6">
        <v>30000</v>
      </c>
      <c r="J185" s="6">
        <v>5400</v>
      </c>
      <c r="K185" s="4">
        <v>96020030</v>
      </c>
      <c r="L185" s="3" t="s">
        <v>707</v>
      </c>
      <c r="M185" s="3" t="s">
        <v>708</v>
      </c>
      <c r="N185" s="5">
        <f t="shared" si="2"/>
        <v>18</v>
      </c>
    </row>
    <row r="186" spans="1:14" ht="14.4" x14ac:dyDescent="0.3">
      <c r="A186" s="3" t="s">
        <v>709</v>
      </c>
      <c r="B186" s="3" t="s">
        <v>178</v>
      </c>
      <c r="C186" s="3" t="s">
        <v>20</v>
      </c>
      <c r="D186" s="3" t="s">
        <v>50</v>
      </c>
      <c r="E186" s="3" t="s">
        <v>22</v>
      </c>
      <c r="F186" s="3" t="s">
        <v>710</v>
      </c>
      <c r="G186" s="3" t="s">
        <v>3409</v>
      </c>
      <c r="H186" s="7">
        <v>44959</v>
      </c>
      <c r="I186" s="6">
        <v>43323.05</v>
      </c>
      <c r="J186" s="6">
        <v>7798.14</v>
      </c>
      <c r="K186" s="4">
        <v>76071995</v>
      </c>
      <c r="L186" s="3" t="s">
        <v>180</v>
      </c>
      <c r="M186" s="3" t="s">
        <v>36</v>
      </c>
      <c r="N186" s="5">
        <f t="shared" si="2"/>
        <v>17.999979225839361</v>
      </c>
    </row>
    <row r="187" spans="1:14" ht="14.4" x14ac:dyDescent="0.3">
      <c r="A187" s="3" t="s">
        <v>711</v>
      </c>
      <c r="B187" s="3" t="s">
        <v>94</v>
      </c>
      <c r="C187" s="3" t="s">
        <v>26</v>
      </c>
      <c r="D187" s="3" t="s">
        <v>95</v>
      </c>
      <c r="E187" s="3" t="s">
        <v>22</v>
      </c>
      <c r="F187" s="3" t="s">
        <v>712</v>
      </c>
      <c r="G187" s="3" t="s">
        <v>3410</v>
      </c>
      <c r="H187" s="7">
        <v>44960</v>
      </c>
      <c r="I187" s="6">
        <v>128677.5</v>
      </c>
      <c r="J187" s="6">
        <v>23161.96</v>
      </c>
      <c r="K187" s="4">
        <v>48192090</v>
      </c>
      <c r="L187" s="3" t="s">
        <v>97</v>
      </c>
      <c r="M187" s="3" t="s">
        <v>36</v>
      </c>
      <c r="N187" s="5">
        <f t="shared" si="2"/>
        <v>18.000007771366402</v>
      </c>
    </row>
    <row r="188" spans="1:14" ht="14.4" x14ac:dyDescent="0.3">
      <c r="A188" s="3" t="s">
        <v>713</v>
      </c>
      <c r="B188" s="3" t="s">
        <v>55</v>
      </c>
      <c r="C188" s="3" t="s">
        <v>56</v>
      </c>
      <c r="D188" s="3" t="s">
        <v>57</v>
      </c>
      <c r="E188" s="3" t="s">
        <v>22</v>
      </c>
      <c r="F188" s="3" t="s">
        <v>714</v>
      </c>
      <c r="G188" s="3" t="s">
        <v>3411</v>
      </c>
      <c r="H188" s="7">
        <v>44977</v>
      </c>
      <c r="I188" s="6">
        <v>41700</v>
      </c>
      <c r="J188" s="6">
        <v>7506</v>
      </c>
      <c r="K188" s="4">
        <v>29420090</v>
      </c>
      <c r="L188" s="3"/>
      <c r="M188" s="3" t="s">
        <v>36</v>
      </c>
      <c r="N188" s="5">
        <f t="shared" si="2"/>
        <v>18</v>
      </c>
    </row>
    <row r="189" spans="1:14" ht="14.4" x14ac:dyDescent="0.3">
      <c r="A189" s="3" t="s">
        <v>715</v>
      </c>
      <c r="B189" s="3" t="s">
        <v>716</v>
      </c>
      <c r="C189" s="3" t="s">
        <v>56</v>
      </c>
      <c r="D189" s="3" t="s">
        <v>57</v>
      </c>
      <c r="E189" s="3" t="s">
        <v>396</v>
      </c>
      <c r="F189" s="3" t="s">
        <v>717</v>
      </c>
      <c r="G189" s="3" t="s">
        <v>3412</v>
      </c>
      <c r="H189" s="7">
        <v>44977</v>
      </c>
      <c r="I189" s="6">
        <v>77820</v>
      </c>
      <c r="J189" s="6">
        <v>14007.6</v>
      </c>
      <c r="K189" s="4">
        <v>3923</v>
      </c>
      <c r="L189" s="3"/>
      <c r="M189" s="3" t="s">
        <v>36</v>
      </c>
      <c r="N189" s="5">
        <f t="shared" si="2"/>
        <v>18</v>
      </c>
    </row>
    <row r="190" spans="1:14" ht="14.4" x14ac:dyDescent="0.3">
      <c r="A190" s="3" t="s">
        <v>718</v>
      </c>
      <c r="B190" s="3" t="s">
        <v>197</v>
      </c>
      <c r="C190" s="3" t="s">
        <v>20</v>
      </c>
      <c r="D190" s="3" t="s">
        <v>57</v>
      </c>
      <c r="E190" s="3" t="s">
        <v>22</v>
      </c>
      <c r="F190" s="3" t="s">
        <v>719</v>
      </c>
      <c r="G190" s="3" t="s">
        <v>3413</v>
      </c>
      <c r="H190" s="7">
        <v>44984</v>
      </c>
      <c r="I190" s="6">
        <v>259500</v>
      </c>
      <c r="J190" s="6">
        <v>46710</v>
      </c>
      <c r="K190" s="4">
        <v>29420090</v>
      </c>
      <c r="L190" s="3" t="s">
        <v>199</v>
      </c>
      <c r="M190" s="3" t="s">
        <v>92</v>
      </c>
      <c r="N190" s="5">
        <f t="shared" si="2"/>
        <v>18</v>
      </c>
    </row>
    <row r="191" spans="1:14" ht="14.4" x14ac:dyDescent="0.3">
      <c r="A191" s="3" t="s">
        <v>720</v>
      </c>
      <c r="B191" s="3" t="s">
        <v>150</v>
      </c>
      <c r="C191" s="3" t="s">
        <v>134</v>
      </c>
      <c r="D191" s="3" t="s">
        <v>151</v>
      </c>
      <c r="E191" s="3" t="s">
        <v>22</v>
      </c>
      <c r="F191" s="3" t="s">
        <v>721</v>
      </c>
      <c r="G191" s="3" t="s">
        <v>3414</v>
      </c>
      <c r="H191" s="7">
        <v>44980</v>
      </c>
      <c r="I191" s="6">
        <v>216000</v>
      </c>
      <c r="J191" s="6">
        <v>38880</v>
      </c>
      <c r="K191" s="4">
        <v>39233090</v>
      </c>
      <c r="L191" s="3" t="s">
        <v>722</v>
      </c>
      <c r="M191" s="3" t="s">
        <v>723</v>
      </c>
      <c r="N191" s="5">
        <f t="shared" si="2"/>
        <v>18</v>
      </c>
    </row>
    <row r="192" spans="1:14" ht="14.4" x14ac:dyDescent="0.3">
      <c r="A192" s="3" t="s">
        <v>724</v>
      </c>
      <c r="B192" s="3" t="s">
        <v>94</v>
      </c>
      <c r="C192" s="3" t="s">
        <v>26</v>
      </c>
      <c r="D192" s="3" t="s">
        <v>95</v>
      </c>
      <c r="E192" s="3" t="s">
        <v>22</v>
      </c>
      <c r="F192" s="3" t="s">
        <v>725</v>
      </c>
      <c r="G192" s="3" t="s">
        <v>3415</v>
      </c>
      <c r="H192" s="7">
        <v>44978</v>
      </c>
      <c r="I192" s="6">
        <v>55060.2</v>
      </c>
      <c r="J192" s="6">
        <v>9910.82</v>
      </c>
      <c r="K192" s="4">
        <v>48192090</v>
      </c>
      <c r="L192" s="3" t="s">
        <v>97</v>
      </c>
      <c r="M192" s="3" t="s">
        <v>36</v>
      </c>
      <c r="N192" s="5">
        <f t="shared" si="2"/>
        <v>17.99997094089742</v>
      </c>
    </row>
    <row r="193" spans="1:14" ht="14.4" x14ac:dyDescent="0.3">
      <c r="A193" s="3" t="s">
        <v>726</v>
      </c>
      <c r="B193" s="3" t="s">
        <v>84</v>
      </c>
      <c r="C193" s="3" t="s">
        <v>20</v>
      </c>
      <c r="D193" s="3" t="s">
        <v>239</v>
      </c>
      <c r="E193" s="3" t="s">
        <v>22</v>
      </c>
      <c r="F193" s="3" t="s">
        <v>727</v>
      </c>
      <c r="G193" s="3" t="s">
        <v>3416</v>
      </c>
      <c r="H193" s="7">
        <v>44978</v>
      </c>
      <c r="I193" s="6">
        <v>22407.200000000001</v>
      </c>
      <c r="J193" s="6">
        <v>4033.3</v>
      </c>
      <c r="K193" s="4">
        <v>3921</v>
      </c>
      <c r="L193" s="3" t="s">
        <v>118</v>
      </c>
      <c r="M193" s="3"/>
      <c r="N193" s="5">
        <f t="shared" si="2"/>
        <v>18.000017851404905</v>
      </c>
    </row>
    <row r="194" spans="1:14" ht="14.4" x14ac:dyDescent="0.3">
      <c r="A194" s="3" t="s">
        <v>728</v>
      </c>
      <c r="B194" s="3" t="s">
        <v>192</v>
      </c>
      <c r="C194" s="3" t="s">
        <v>20</v>
      </c>
      <c r="D194" s="3" t="s">
        <v>193</v>
      </c>
      <c r="E194" s="3" t="s">
        <v>22</v>
      </c>
      <c r="F194" s="3" t="s">
        <v>729</v>
      </c>
      <c r="G194" s="3" t="s">
        <v>3417</v>
      </c>
      <c r="H194" s="7">
        <v>44974</v>
      </c>
      <c r="I194" s="6">
        <v>110664.5</v>
      </c>
      <c r="J194" s="6">
        <v>19919.62</v>
      </c>
      <c r="K194" s="4">
        <v>4819</v>
      </c>
      <c r="L194" s="3"/>
      <c r="M194" s="3" t="s">
        <v>107</v>
      </c>
      <c r="N194" s="5">
        <f t="shared" si="2"/>
        <v>18.000009036321494</v>
      </c>
    </row>
    <row r="195" spans="1:14" ht="14.4" x14ac:dyDescent="0.3">
      <c r="A195" s="3" t="s">
        <v>730</v>
      </c>
      <c r="B195" s="3" t="s">
        <v>186</v>
      </c>
      <c r="C195" s="3" t="s">
        <v>187</v>
      </c>
      <c r="D195" s="3" t="s">
        <v>39</v>
      </c>
      <c r="E195" s="3" t="s">
        <v>188</v>
      </c>
      <c r="F195" s="3" t="s">
        <v>731</v>
      </c>
      <c r="G195" s="3" t="s">
        <v>3418</v>
      </c>
      <c r="H195" s="7">
        <v>44974</v>
      </c>
      <c r="I195" s="6">
        <v>44787.6</v>
      </c>
      <c r="J195" s="6">
        <v>8061.76</v>
      </c>
      <c r="K195" s="4">
        <v>39233090</v>
      </c>
      <c r="L195" s="3" t="s">
        <v>407</v>
      </c>
      <c r="M195" s="3" t="s">
        <v>107</v>
      </c>
      <c r="N195" s="5">
        <f t="shared" ref="N195:N258" si="3">J195*100/I195</f>
        <v>17.999982137913172</v>
      </c>
    </row>
    <row r="196" spans="1:14" ht="14.4" x14ac:dyDescent="0.3">
      <c r="A196" s="3" t="s">
        <v>732</v>
      </c>
      <c r="B196" s="3" t="s">
        <v>84</v>
      </c>
      <c r="C196" s="3" t="s">
        <v>20</v>
      </c>
      <c r="D196" s="3" t="s">
        <v>239</v>
      </c>
      <c r="E196" s="3" t="s">
        <v>22</v>
      </c>
      <c r="F196" s="3" t="s">
        <v>733</v>
      </c>
      <c r="G196" s="3" t="s">
        <v>3419</v>
      </c>
      <c r="H196" s="7">
        <v>44973</v>
      </c>
      <c r="I196" s="6">
        <v>22152.400000000001</v>
      </c>
      <c r="J196" s="6">
        <v>3987.43</v>
      </c>
      <c r="K196" s="4">
        <v>3921</v>
      </c>
      <c r="L196" s="3" t="s">
        <v>118</v>
      </c>
      <c r="M196" s="3"/>
      <c r="N196" s="5">
        <f t="shared" si="3"/>
        <v>17.999990971632869</v>
      </c>
    </row>
    <row r="197" spans="1:14" ht="14.4" x14ac:dyDescent="0.3">
      <c r="A197" s="3" t="s">
        <v>734</v>
      </c>
      <c r="B197" s="3" t="s">
        <v>161</v>
      </c>
      <c r="C197" s="3" t="s">
        <v>56</v>
      </c>
      <c r="D197" s="3" t="s">
        <v>57</v>
      </c>
      <c r="E197" s="3" t="s">
        <v>162</v>
      </c>
      <c r="F197" s="3" t="s">
        <v>735</v>
      </c>
      <c r="G197" s="3" t="s">
        <v>3420</v>
      </c>
      <c r="H197" s="7">
        <v>44973</v>
      </c>
      <c r="I197" s="6">
        <v>1825912.5</v>
      </c>
      <c r="J197" s="6">
        <v>328664.26</v>
      </c>
      <c r="K197" s="4">
        <v>29419090</v>
      </c>
      <c r="L197" s="3" t="s">
        <v>600</v>
      </c>
      <c r="M197" s="3" t="s">
        <v>92</v>
      </c>
      <c r="N197" s="5">
        <f t="shared" si="3"/>
        <v>18.00000054767137</v>
      </c>
    </row>
    <row r="198" spans="1:14" ht="14.4" x14ac:dyDescent="0.3">
      <c r="A198" s="3" t="s">
        <v>736</v>
      </c>
      <c r="B198" s="3" t="s">
        <v>462</v>
      </c>
      <c r="C198" s="3" t="s">
        <v>20</v>
      </c>
      <c r="D198" s="3" t="s">
        <v>50</v>
      </c>
      <c r="E198" s="3" t="s">
        <v>22</v>
      </c>
      <c r="F198" s="3" t="s">
        <v>737</v>
      </c>
      <c r="G198" s="3" t="s">
        <v>3421</v>
      </c>
      <c r="H198" s="7">
        <v>44971</v>
      </c>
      <c r="I198" s="6">
        <v>192841.1</v>
      </c>
      <c r="J198" s="6">
        <v>34711.4</v>
      </c>
      <c r="K198" s="4">
        <v>7607</v>
      </c>
      <c r="L198" s="3" t="s">
        <v>464</v>
      </c>
      <c r="M198" s="3" t="s">
        <v>195</v>
      </c>
      <c r="N198" s="5">
        <f t="shared" si="3"/>
        <v>18.000001037123308</v>
      </c>
    </row>
    <row r="199" spans="1:14" ht="14.4" x14ac:dyDescent="0.3">
      <c r="A199" s="3" t="s">
        <v>738</v>
      </c>
      <c r="B199" s="3" t="s">
        <v>94</v>
      </c>
      <c r="C199" s="3" t="s">
        <v>26</v>
      </c>
      <c r="D199" s="3" t="s">
        <v>95</v>
      </c>
      <c r="E199" s="3" t="s">
        <v>22</v>
      </c>
      <c r="F199" s="3" t="s">
        <v>739</v>
      </c>
      <c r="G199" s="3" t="s">
        <v>3422</v>
      </c>
      <c r="H199" s="7">
        <v>44971</v>
      </c>
      <c r="I199" s="6">
        <v>56865.4</v>
      </c>
      <c r="J199" s="6">
        <v>10235.780000000001</v>
      </c>
      <c r="K199" s="4">
        <v>48192090</v>
      </c>
      <c r="L199" s="3" t="s">
        <v>97</v>
      </c>
      <c r="M199" s="3" t="s">
        <v>195</v>
      </c>
      <c r="N199" s="5">
        <f t="shared" si="3"/>
        <v>18.000014068308673</v>
      </c>
    </row>
    <row r="200" spans="1:14" ht="14.4" x14ac:dyDescent="0.3">
      <c r="A200" s="3" t="s">
        <v>740</v>
      </c>
      <c r="B200" s="3" t="s">
        <v>89</v>
      </c>
      <c r="C200" s="3" t="s">
        <v>20</v>
      </c>
      <c r="D200" s="3" t="s">
        <v>50</v>
      </c>
      <c r="E200" s="3" t="s">
        <v>22</v>
      </c>
      <c r="F200" s="3" t="s">
        <v>741</v>
      </c>
      <c r="G200" s="3">
        <v>1271</v>
      </c>
      <c r="H200" s="7">
        <v>44971</v>
      </c>
      <c r="I200" s="6">
        <v>13000</v>
      </c>
      <c r="J200" s="6">
        <v>2340</v>
      </c>
      <c r="K200" s="4">
        <v>84425010</v>
      </c>
      <c r="L200" s="3" t="s">
        <v>91</v>
      </c>
      <c r="M200" s="3" t="s">
        <v>195</v>
      </c>
      <c r="N200" s="5">
        <f t="shared" si="3"/>
        <v>18</v>
      </c>
    </row>
    <row r="201" spans="1:14" ht="14.4" x14ac:dyDescent="0.3">
      <c r="A201" s="3" t="s">
        <v>742</v>
      </c>
      <c r="B201" s="3" t="s">
        <v>89</v>
      </c>
      <c r="C201" s="3" t="s">
        <v>20</v>
      </c>
      <c r="D201" s="3" t="s">
        <v>50</v>
      </c>
      <c r="E201" s="3" t="s">
        <v>22</v>
      </c>
      <c r="F201" s="3" t="s">
        <v>743</v>
      </c>
      <c r="G201" s="3">
        <v>1270</v>
      </c>
      <c r="H201" s="7">
        <v>44971</v>
      </c>
      <c r="I201" s="6">
        <v>38903.1</v>
      </c>
      <c r="J201" s="6">
        <v>7002.56</v>
      </c>
      <c r="K201" s="4">
        <v>76071994</v>
      </c>
      <c r="L201" s="3" t="s">
        <v>744</v>
      </c>
      <c r="M201" s="3" t="s">
        <v>195</v>
      </c>
      <c r="N201" s="5">
        <f t="shared" si="3"/>
        <v>18.000005140978484</v>
      </c>
    </row>
    <row r="202" spans="1:14" ht="14.4" x14ac:dyDescent="0.3">
      <c r="A202" s="3" t="s">
        <v>745</v>
      </c>
      <c r="B202" s="3" t="s">
        <v>25</v>
      </c>
      <c r="C202" s="3" t="s">
        <v>26</v>
      </c>
      <c r="D202" s="3" t="s">
        <v>27</v>
      </c>
      <c r="E202" s="3" t="s">
        <v>28</v>
      </c>
      <c r="F202" s="3" t="s">
        <v>746</v>
      </c>
      <c r="G202" s="3" t="s">
        <v>3423</v>
      </c>
      <c r="H202" s="7">
        <v>44966</v>
      </c>
      <c r="I202" s="6">
        <v>252247.5</v>
      </c>
      <c r="J202" s="6">
        <v>45404</v>
      </c>
      <c r="K202" s="4">
        <v>29420090</v>
      </c>
      <c r="L202" s="3" t="s">
        <v>31</v>
      </c>
      <c r="M202" s="3" t="s">
        <v>92</v>
      </c>
      <c r="N202" s="5">
        <f t="shared" si="3"/>
        <v>17.999781960177998</v>
      </c>
    </row>
    <row r="203" spans="1:14" ht="14.4" x14ac:dyDescent="0.3">
      <c r="A203" s="3" t="s">
        <v>747</v>
      </c>
      <c r="B203" s="3" t="s">
        <v>748</v>
      </c>
      <c r="C203" s="3" t="s">
        <v>270</v>
      </c>
      <c r="D203" s="3" t="s">
        <v>749</v>
      </c>
      <c r="E203" s="3" t="s">
        <v>15</v>
      </c>
      <c r="F203" s="3" t="s">
        <v>750</v>
      </c>
      <c r="G203" s="3" t="s">
        <v>3424</v>
      </c>
      <c r="H203" s="7">
        <v>44961</v>
      </c>
      <c r="I203" s="6">
        <v>48789</v>
      </c>
      <c r="J203" s="6">
        <v>8150.72</v>
      </c>
      <c r="K203" s="4">
        <v>38220090</v>
      </c>
      <c r="L203" s="3" t="s">
        <v>751</v>
      </c>
      <c r="M203" s="3" t="s">
        <v>752</v>
      </c>
      <c r="N203" s="5">
        <f t="shared" si="3"/>
        <v>16.706060792391728</v>
      </c>
    </row>
    <row r="204" spans="1:14" ht="14.4" x14ac:dyDescent="0.3">
      <c r="A204" s="3" t="s">
        <v>753</v>
      </c>
      <c r="B204" s="3" t="s">
        <v>754</v>
      </c>
      <c r="C204" s="3" t="s">
        <v>20</v>
      </c>
      <c r="D204" s="3" t="s">
        <v>755</v>
      </c>
      <c r="E204" s="3" t="s">
        <v>22</v>
      </c>
      <c r="F204" s="3" t="s">
        <v>756</v>
      </c>
      <c r="G204" s="3">
        <v>628</v>
      </c>
      <c r="H204" s="7">
        <v>44965</v>
      </c>
      <c r="I204" s="6">
        <v>51012.5</v>
      </c>
      <c r="J204" s="6">
        <v>9182.26</v>
      </c>
      <c r="K204" s="4">
        <v>48191010</v>
      </c>
      <c r="L204" s="3"/>
      <c r="M204" s="3" t="s">
        <v>757</v>
      </c>
      <c r="N204" s="5">
        <f t="shared" si="3"/>
        <v>18.000019603038471</v>
      </c>
    </row>
    <row r="205" spans="1:14" ht="14.4" x14ac:dyDescent="0.3">
      <c r="A205" s="3" t="s">
        <v>758</v>
      </c>
      <c r="B205" s="3" t="s">
        <v>534</v>
      </c>
      <c r="C205" s="3" t="s">
        <v>535</v>
      </c>
      <c r="D205" s="3" t="s">
        <v>536</v>
      </c>
      <c r="E205" s="3" t="s">
        <v>378</v>
      </c>
      <c r="F205" s="3" t="s">
        <v>759</v>
      </c>
      <c r="G205" s="3" t="s">
        <v>3425</v>
      </c>
      <c r="H205" s="7">
        <v>44964</v>
      </c>
      <c r="I205" s="6">
        <v>40000</v>
      </c>
      <c r="J205" s="6">
        <v>7200</v>
      </c>
      <c r="K205" s="4">
        <v>96020030</v>
      </c>
      <c r="L205" s="3" t="s">
        <v>760</v>
      </c>
      <c r="M205" s="3" t="s">
        <v>708</v>
      </c>
      <c r="N205" s="5">
        <f t="shared" si="3"/>
        <v>18</v>
      </c>
    </row>
    <row r="206" spans="1:14" ht="14.4" x14ac:dyDescent="0.3">
      <c r="A206" s="3" t="s">
        <v>761</v>
      </c>
      <c r="B206" s="3" t="s">
        <v>145</v>
      </c>
      <c r="C206" s="3" t="s">
        <v>20</v>
      </c>
      <c r="D206" s="3" t="s">
        <v>762</v>
      </c>
      <c r="E206" s="3" t="s">
        <v>22</v>
      </c>
      <c r="F206" s="3" t="s">
        <v>763</v>
      </c>
      <c r="G206" s="3" t="s">
        <v>3426</v>
      </c>
      <c r="H206" s="7">
        <v>44964</v>
      </c>
      <c r="I206" s="6">
        <v>119850</v>
      </c>
      <c r="J206" s="6">
        <v>14382</v>
      </c>
      <c r="K206" s="4">
        <v>11081200</v>
      </c>
      <c r="L206" s="3"/>
      <c r="M206" s="3" t="s">
        <v>764</v>
      </c>
      <c r="N206" s="5">
        <f t="shared" si="3"/>
        <v>12</v>
      </c>
    </row>
    <row r="207" spans="1:14" ht="14.4" x14ac:dyDescent="0.3">
      <c r="A207" s="3" t="s">
        <v>765</v>
      </c>
      <c r="B207" s="3" t="s">
        <v>94</v>
      </c>
      <c r="C207" s="3" t="s">
        <v>26</v>
      </c>
      <c r="D207" s="3" t="s">
        <v>95</v>
      </c>
      <c r="E207" s="3" t="s">
        <v>22</v>
      </c>
      <c r="F207" s="3" t="s">
        <v>766</v>
      </c>
      <c r="G207" s="3" t="s">
        <v>3427</v>
      </c>
      <c r="H207" s="7">
        <v>44963</v>
      </c>
      <c r="I207" s="6">
        <v>116232.5</v>
      </c>
      <c r="J207" s="6">
        <v>20489.62</v>
      </c>
      <c r="K207" s="4">
        <v>48192090</v>
      </c>
      <c r="L207" s="3" t="s">
        <v>97</v>
      </c>
      <c r="M207" s="3" t="s">
        <v>36</v>
      </c>
      <c r="N207" s="5">
        <f t="shared" si="3"/>
        <v>17.628133267373585</v>
      </c>
    </row>
    <row r="208" spans="1:14" ht="14.4" x14ac:dyDescent="0.3">
      <c r="A208" s="3" t="s">
        <v>767</v>
      </c>
      <c r="B208" s="3" t="s">
        <v>768</v>
      </c>
      <c r="C208" s="3" t="s">
        <v>20</v>
      </c>
      <c r="D208" s="3" t="s">
        <v>755</v>
      </c>
      <c r="E208" s="3" t="s">
        <v>22</v>
      </c>
      <c r="F208" s="3" t="s">
        <v>769</v>
      </c>
      <c r="G208" s="3">
        <v>285</v>
      </c>
      <c r="H208" s="7">
        <v>44960</v>
      </c>
      <c r="I208" s="6">
        <v>105593</v>
      </c>
      <c r="J208" s="6">
        <v>12671.16</v>
      </c>
      <c r="K208" s="4">
        <v>4802</v>
      </c>
      <c r="L208" s="3" t="s">
        <v>770</v>
      </c>
      <c r="M208" s="3" t="s">
        <v>771</v>
      </c>
      <c r="N208" s="5">
        <f t="shared" si="3"/>
        <v>12</v>
      </c>
    </row>
    <row r="209" spans="1:14" ht="14.4" x14ac:dyDescent="0.3">
      <c r="A209" s="3" t="s">
        <v>772</v>
      </c>
      <c r="B209" s="3" t="s">
        <v>55</v>
      </c>
      <c r="C209" s="3" t="s">
        <v>56</v>
      </c>
      <c r="D209" s="3" t="s">
        <v>57</v>
      </c>
      <c r="E209" s="3" t="s">
        <v>22</v>
      </c>
      <c r="F209" s="3" t="s">
        <v>773</v>
      </c>
      <c r="G209" s="3" t="s">
        <v>3428</v>
      </c>
      <c r="H209" s="7">
        <v>44981</v>
      </c>
      <c r="I209" s="6">
        <v>74400</v>
      </c>
      <c r="J209" s="6">
        <v>13392</v>
      </c>
      <c r="K209" s="4">
        <v>96020030</v>
      </c>
      <c r="L209" s="3"/>
      <c r="M209" s="3" t="s">
        <v>32</v>
      </c>
      <c r="N209" s="5">
        <f t="shared" si="3"/>
        <v>18</v>
      </c>
    </row>
    <row r="210" spans="1:14" ht="14.4" x14ac:dyDescent="0.3">
      <c r="A210" s="3" t="s">
        <v>774</v>
      </c>
      <c r="B210" s="3" t="s">
        <v>55</v>
      </c>
      <c r="C210" s="3" t="s">
        <v>56</v>
      </c>
      <c r="D210" s="3" t="s">
        <v>57</v>
      </c>
      <c r="E210" s="3" t="s">
        <v>22</v>
      </c>
      <c r="F210" s="3" t="s">
        <v>775</v>
      </c>
      <c r="G210" s="3" t="s">
        <v>3429</v>
      </c>
      <c r="H210" s="7">
        <v>44978</v>
      </c>
      <c r="I210" s="6">
        <v>187150</v>
      </c>
      <c r="J210" s="6">
        <v>33687</v>
      </c>
      <c r="K210" s="4">
        <v>29420090</v>
      </c>
      <c r="L210" s="3"/>
      <c r="M210" s="3" t="s">
        <v>36</v>
      </c>
      <c r="N210" s="5">
        <f t="shared" si="3"/>
        <v>18</v>
      </c>
    </row>
    <row r="211" spans="1:14" ht="14.4" x14ac:dyDescent="0.3">
      <c r="A211" s="3" t="s">
        <v>776</v>
      </c>
      <c r="B211" s="3" t="s">
        <v>222</v>
      </c>
      <c r="C211" s="3" t="s">
        <v>223</v>
      </c>
      <c r="D211" s="3" t="s">
        <v>224</v>
      </c>
      <c r="E211" s="3" t="s">
        <v>136</v>
      </c>
      <c r="F211" s="3" t="s">
        <v>777</v>
      </c>
      <c r="G211" s="3" t="s">
        <v>3430</v>
      </c>
      <c r="H211" s="7">
        <v>44978</v>
      </c>
      <c r="I211" s="6">
        <v>90629.65</v>
      </c>
      <c r="J211" s="6">
        <v>16313.36</v>
      </c>
      <c r="K211" s="4">
        <v>76071994</v>
      </c>
      <c r="L211" s="3" t="s">
        <v>778</v>
      </c>
      <c r="M211" s="3" t="s">
        <v>36</v>
      </c>
      <c r="N211" s="5">
        <f t="shared" si="3"/>
        <v>18.000025378008193</v>
      </c>
    </row>
    <row r="212" spans="1:14" ht="14.4" x14ac:dyDescent="0.3">
      <c r="A212" s="3" t="s">
        <v>779</v>
      </c>
      <c r="B212" s="3" t="s">
        <v>116</v>
      </c>
      <c r="C212" s="3" t="s">
        <v>20</v>
      </c>
      <c r="D212" s="3" t="s">
        <v>780</v>
      </c>
      <c r="E212" s="3" t="s">
        <v>22</v>
      </c>
      <c r="F212" s="3" t="s">
        <v>781</v>
      </c>
      <c r="G212" s="3" t="s">
        <v>3431</v>
      </c>
      <c r="H212" s="7">
        <v>44977</v>
      </c>
      <c r="I212" s="6">
        <v>87437.66</v>
      </c>
      <c r="J212" s="6">
        <v>15738.78</v>
      </c>
      <c r="K212" s="4">
        <v>39239090</v>
      </c>
      <c r="L212" s="3" t="s">
        <v>118</v>
      </c>
      <c r="M212" s="3" t="s">
        <v>36</v>
      </c>
      <c r="N212" s="5">
        <f t="shared" si="3"/>
        <v>18.000001372406352</v>
      </c>
    </row>
    <row r="213" spans="1:14" ht="14.4" x14ac:dyDescent="0.3">
      <c r="A213" s="3" t="s">
        <v>782</v>
      </c>
      <c r="B213" s="3" t="s">
        <v>783</v>
      </c>
      <c r="C213" s="3" t="s">
        <v>20</v>
      </c>
      <c r="D213" s="3" t="s">
        <v>784</v>
      </c>
      <c r="E213" s="3" t="s">
        <v>22</v>
      </c>
      <c r="F213" s="3" t="s">
        <v>785</v>
      </c>
      <c r="G213" s="3" t="s">
        <v>3432</v>
      </c>
      <c r="H213" s="7">
        <v>44978</v>
      </c>
      <c r="I213" s="6">
        <v>44637</v>
      </c>
      <c r="J213" s="6">
        <v>8034.66</v>
      </c>
      <c r="K213" s="4">
        <v>760719</v>
      </c>
      <c r="L213" s="3" t="s">
        <v>786</v>
      </c>
      <c r="M213" s="3" t="s">
        <v>36</v>
      </c>
      <c r="N213" s="5">
        <f t="shared" si="3"/>
        <v>18</v>
      </c>
    </row>
    <row r="214" spans="1:14" ht="14.4" x14ac:dyDescent="0.3">
      <c r="A214" s="3" t="s">
        <v>787</v>
      </c>
      <c r="B214" s="3" t="s">
        <v>788</v>
      </c>
      <c r="C214" s="3" t="s">
        <v>20</v>
      </c>
      <c r="D214" s="3" t="s">
        <v>789</v>
      </c>
      <c r="E214" s="3" t="s">
        <v>22</v>
      </c>
      <c r="F214" s="3" t="s">
        <v>790</v>
      </c>
      <c r="G214" s="3" t="s">
        <v>3433</v>
      </c>
      <c r="H214" s="7">
        <v>44978</v>
      </c>
      <c r="I214" s="6">
        <v>91200</v>
      </c>
      <c r="J214" s="6">
        <v>16416</v>
      </c>
      <c r="K214" s="4">
        <v>48192020</v>
      </c>
      <c r="L214" s="3" t="s">
        <v>791</v>
      </c>
      <c r="M214" s="3" t="s">
        <v>36</v>
      </c>
      <c r="N214" s="5">
        <f t="shared" si="3"/>
        <v>18</v>
      </c>
    </row>
    <row r="215" spans="1:14" ht="14.4" x14ac:dyDescent="0.3">
      <c r="A215" s="3" t="s">
        <v>792</v>
      </c>
      <c r="B215" s="3" t="s">
        <v>793</v>
      </c>
      <c r="C215" s="3" t="s">
        <v>20</v>
      </c>
      <c r="D215" s="3" t="s">
        <v>794</v>
      </c>
      <c r="E215" s="3" t="s">
        <v>22</v>
      </c>
      <c r="F215" s="3" t="s">
        <v>795</v>
      </c>
      <c r="G215" s="3">
        <v>535</v>
      </c>
      <c r="H215" s="7">
        <v>44960</v>
      </c>
      <c r="I215" s="6">
        <v>3138131.75</v>
      </c>
      <c r="J215" s="6">
        <v>564863.71</v>
      </c>
      <c r="K215" s="4">
        <v>29419019</v>
      </c>
      <c r="L215" s="3" t="s">
        <v>796</v>
      </c>
      <c r="M215" s="3" t="s">
        <v>98</v>
      </c>
      <c r="N215" s="5">
        <f t="shared" si="3"/>
        <v>17.999999840669531</v>
      </c>
    </row>
    <row r="216" spans="1:14" ht="14.4" x14ac:dyDescent="0.3">
      <c r="A216" s="3" t="s">
        <v>797</v>
      </c>
      <c r="B216" s="3" t="s">
        <v>798</v>
      </c>
      <c r="C216" s="3" t="s">
        <v>20</v>
      </c>
      <c r="D216" s="3" t="s">
        <v>799</v>
      </c>
      <c r="E216" s="3" t="s">
        <v>22</v>
      </c>
      <c r="F216" s="3" t="s">
        <v>800</v>
      </c>
      <c r="G216" s="3">
        <v>570</v>
      </c>
      <c r="H216" s="7">
        <v>44961</v>
      </c>
      <c r="I216" s="6">
        <v>230000</v>
      </c>
      <c r="J216" s="6">
        <v>41400</v>
      </c>
      <c r="K216" s="4">
        <v>8422</v>
      </c>
      <c r="L216" s="3" t="s">
        <v>801</v>
      </c>
      <c r="M216" s="3" t="s">
        <v>516</v>
      </c>
      <c r="N216" s="5">
        <f t="shared" si="3"/>
        <v>18</v>
      </c>
    </row>
    <row r="217" spans="1:14" ht="14.4" x14ac:dyDescent="0.3">
      <c r="A217" s="3" t="s">
        <v>802</v>
      </c>
      <c r="B217" s="3" t="s">
        <v>803</v>
      </c>
      <c r="C217" s="3" t="s">
        <v>535</v>
      </c>
      <c r="D217" s="3" t="s">
        <v>804</v>
      </c>
      <c r="E217" s="3" t="s">
        <v>378</v>
      </c>
      <c r="F217" s="3" t="s">
        <v>805</v>
      </c>
      <c r="G217" s="3" t="s">
        <v>3434</v>
      </c>
      <c r="H217" s="7">
        <v>44984</v>
      </c>
      <c r="I217" s="6">
        <v>120000</v>
      </c>
      <c r="J217" s="6">
        <v>21600</v>
      </c>
      <c r="K217" s="4">
        <v>96020030</v>
      </c>
      <c r="L217" s="3"/>
      <c r="M217" s="3" t="s">
        <v>280</v>
      </c>
      <c r="N217" s="5">
        <f t="shared" si="3"/>
        <v>18</v>
      </c>
    </row>
    <row r="218" spans="1:14" ht="14.4" x14ac:dyDescent="0.3">
      <c r="A218" s="3" t="s">
        <v>806</v>
      </c>
      <c r="B218" s="3" t="s">
        <v>803</v>
      </c>
      <c r="C218" s="3" t="s">
        <v>535</v>
      </c>
      <c r="D218" s="3" t="s">
        <v>804</v>
      </c>
      <c r="E218" s="3" t="s">
        <v>378</v>
      </c>
      <c r="F218" s="3" t="s">
        <v>807</v>
      </c>
      <c r="G218" s="3" t="s">
        <v>3435</v>
      </c>
      <c r="H218" s="7">
        <v>44979</v>
      </c>
      <c r="I218" s="6">
        <v>20000</v>
      </c>
      <c r="J218" s="6">
        <v>3600</v>
      </c>
      <c r="K218" s="4">
        <v>96020030</v>
      </c>
      <c r="L218" s="3"/>
      <c r="M218" s="3" t="s">
        <v>808</v>
      </c>
      <c r="N218" s="5">
        <f t="shared" si="3"/>
        <v>18</v>
      </c>
    </row>
    <row r="219" spans="1:14" ht="14.4" x14ac:dyDescent="0.3">
      <c r="A219" s="3" t="s">
        <v>809</v>
      </c>
      <c r="B219" s="3" t="s">
        <v>810</v>
      </c>
      <c r="C219" s="3" t="s">
        <v>20</v>
      </c>
      <c r="D219" s="3" t="s">
        <v>811</v>
      </c>
      <c r="E219" s="3" t="s">
        <v>22</v>
      </c>
      <c r="F219" s="3" t="s">
        <v>812</v>
      </c>
      <c r="G219" s="3">
        <v>1315</v>
      </c>
      <c r="H219" s="7">
        <v>44977</v>
      </c>
      <c r="I219" s="6">
        <v>18077.25</v>
      </c>
      <c r="J219" s="6">
        <v>3253.91</v>
      </c>
      <c r="K219" s="4">
        <v>4819</v>
      </c>
      <c r="L219" s="3"/>
      <c r="M219" s="3" t="s">
        <v>813</v>
      </c>
      <c r="N219" s="5">
        <f t="shared" si="3"/>
        <v>18.000027659074252</v>
      </c>
    </row>
    <row r="220" spans="1:14" ht="14.4" x14ac:dyDescent="0.3">
      <c r="A220" s="3" t="s">
        <v>814</v>
      </c>
      <c r="B220" s="3" t="s">
        <v>815</v>
      </c>
      <c r="C220" s="3" t="s">
        <v>20</v>
      </c>
      <c r="D220" s="3" t="s">
        <v>816</v>
      </c>
      <c r="E220" s="3" t="s">
        <v>22</v>
      </c>
      <c r="F220" s="3" t="s">
        <v>817</v>
      </c>
      <c r="G220" s="3" t="s">
        <v>3436</v>
      </c>
      <c r="H220" s="7">
        <v>44960</v>
      </c>
      <c r="I220" s="6">
        <v>107999.5</v>
      </c>
      <c r="J220" s="6">
        <v>19439.91</v>
      </c>
      <c r="K220" s="4">
        <v>4819</v>
      </c>
      <c r="L220" s="3"/>
      <c r="M220" s="3" t="s">
        <v>98</v>
      </c>
      <c r="N220" s="5">
        <f t="shared" si="3"/>
        <v>18</v>
      </c>
    </row>
    <row r="221" spans="1:14" ht="14.4" x14ac:dyDescent="0.3">
      <c r="A221" s="3" t="s">
        <v>818</v>
      </c>
      <c r="B221" s="3" t="s">
        <v>819</v>
      </c>
      <c r="C221" s="3" t="s">
        <v>20</v>
      </c>
      <c r="D221" s="3" t="s">
        <v>820</v>
      </c>
      <c r="E221" s="3" t="s">
        <v>22</v>
      </c>
      <c r="F221" s="3" t="s">
        <v>821</v>
      </c>
      <c r="G221" s="3" t="s">
        <v>3437</v>
      </c>
      <c r="H221" s="7">
        <v>44985</v>
      </c>
      <c r="I221" s="6">
        <v>230730.5</v>
      </c>
      <c r="J221" s="6">
        <v>41531.49</v>
      </c>
      <c r="K221" s="4">
        <v>29420090</v>
      </c>
      <c r="L221" s="3"/>
      <c r="M221" s="3" t="s">
        <v>822</v>
      </c>
      <c r="N221" s="5">
        <f t="shared" si="3"/>
        <v>18</v>
      </c>
    </row>
    <row r="222" spans="1:14" ht="14.4" x14ac:dyDescent="0.3">
      <c r="A222" s="3" t="s">
        <v>823</v>
      </c>
      <c r="B222" s="3" t="s">
        <v>810</v>
      </c>
      <c r="C222" s="3" t="s">
        <v>20</v>
      </c>
      <c r="D222" s="3" t="s">
        <v>811</v>
      </c>
      <c r="E222" s="3" t="s">
        <v>22</v>
      </c>
      <c r="F222" s="3" t="s">
        <v>824</v>
      </c>
      <c r="G222" s="3">
        <v>1353</v>
      </c>
      <c r="H222" s="7">
        <v>44982</v>
      </c>
      <c r="I222" s="6">
        <v>26380.6</v>
      </c>
      <c r="J222" s="6">
        <v>4748.51</v>
      </c>
      <c r="K222" s="4">
        <v>4819</v>
      </c>
      <c r="L222" s="3"/>
      <c r="M222" s="3" t="s">
        <v>825</v>
      </c>
      <c r="N222" s="5">
        <f t="shared" si="3"/>
        <v>18.000007581328706</v>
      </c>
    </row>
    <row r="223" spans="1:14" ht="14.4" x14ac:dyDescent="0.3">
      <c r="A223" s="3" t="s">
        <v>826</v>
      </c>
      <c r="B223" s="3" t="s">
        <v>810</v>
      </c>
      <c r="C223" s="3" t="s">
        <v>20</v>
      </c>
      <c r="D223" s="3" t="s">
        <v>811</v>
      </c>
      <c r="E223" s="3" t="s">
        <v>22</v>
      </c>
      <c r="F223" s="3" t="s">
        <v>827</v>
      </c>
      <c r="G223" s="3">
        <v>1266</v>
      </c>
      <c r="H223" s="7">
        <v>44967</v>
      </c>
      <c r="I223" s="6">
        <v>5825</v>
      </c>
      <c r="J223" s="6">
        <v>1049</v>
      </c>
      <c r="K223" s="4">
        <v>4819</v>
      </c>
      <c r="L223" s="3"/>
      <c r="M223" s="3" t="s">
        <v>813</v>
      </c>
      <c r="N223" s="5">
        <f t="shared" si="3"/>
        <v>18.008583690987123</v>
      </c>
    </row>
    <row r="224" spans="1:14" ht="14.4" x14ac:dyDescent="0.3">
      <c r="A224" s="3" t="s">
        <v>828</v>
      </c>
      <c r="B224" s="3" t="s">
        <v>829</v>
      </c>
      <c r="C224" s="3" t="s">
        <v>56</v>
      </c>
      <c r="D224" s="3" t="s">
        <v>830</v>
      </c>
      <c r="E224" s="3" t="s">
        <v>831</v>
      </c>
      <c r="F224" s="3" t="s">
        <v>832</v>
      </c>
      <c r="G224" s="3">
        <v>621</v>
      </c>
      <c r="H224" s="7">
        <v>44967</v>
      </c>
      <c r="I224" s="6">
        <v>95568</v>
      </c>
      <c r="J224" s="6">
        <v>17202.240000000002</v>
      </c>
      <c r="K224" s="4">
        <v>76071995</v>
      </c>
      <c r="L224" s="3"/>
      <c r="M224" s="3" t="s">
        <v>813</v>
      </c>
      <c r="N224" s="5">
        <f t="shared" si="3"/>
        <v>18.000000000000004</v>
      </c>
    </row>
    <row r="225" spans="1:14" ht="14.4" x14ac:dyDescent="0.3">
      <c r="A225" s="3" t="s">
        <v>833</v>
      </c>
      <c r="B225" s="3" t="s">
        <v>803</v>
      </c>
      <c r="C225" s="3" t="s">
        <v>535</v>
      </c>
      <c r="D225" s="3" t="s">
        <v>804</v>
      </c>
      <c r="E225" s="3" t="s">
        <v>378</v>
      </c>
      <c r="F225" s="3" t="s">
        <v>834</v>
      </c>
      <c r="G225" s="3" t="s">
        <v>3438</v>
      </c>
      <c r="H225" s="7">
        <v>44963</v>
      </c>
      <c r="I225" s="6">
        <v>205250</v>
      </c>
      <c r="J225" s="6">
        <v>36945</v>
      </c>
      <c r="K225" s="4">
        <v>96020030</v>
      </c>
      <c r="L225" s="3"/>
      <c r="M225" s="3" t="s">
        <v>835</v>
      </c>
      <c r="N225" s="5">
        <f t="shared" si="3"/>
        <v>18</v>
      </c>
    </row>
    <row r="226" spans="1:14" ht="14.4" x14ac:dyDescent="0.3">
      <c r="A226" s="3" t="s">
        <v>836</v>
      </c>
      <c r="B226" s="3" t="s">
        <v>837</v>
      </c>
      <c r="C226" s="3" t="s">
        <v>56</v>
      </c>
      <c r="D226" s="3" t="s">
        <v>838</v>
      </c>
      <c r="E226" s="3" t="s">
        <v>188</v>
      </c>
      <c r="F226" s="3" t="s">
        <v>839</v>
      </c>
      <c r="G226" s="3" t="s">
        <v>3439</v>
      </c>
      <c r="H226" s="7">
        <v>45014</v>
      </c>
      <c r="I226" s="6">
        <v>200100</v>
      </c>
      <c r="J226" s="6">
        <v>36018</v>
      </c>
      <c r="K226" s="4">
        <v>29339900</v>
      </c>
      <c r="L226" s="3" t="s">
        <v>840</v>
      </c>
      <c r="M226" s="3" t="s">
        <v>841</v>
      </c>
      <c r="N226" s="5">
        <f t="shared" si="3"/>
        <v>18</v>
      </c>
    </row>
    <row r="227" spans="1:14" ht="14.4" x14ac:dyDescent="0.3">
      <c r="A227" s="3" t="s">
        <v>842</v>
      </c>
      <c r="B227" s="3" t="s">
        <v>810</v>
      </c>
      <c r="C227" s="3" t="s">
        <v>20</v>
      </c>
      <c r="D227" s="3" t="s">
        <v>843</v>
      </c>
      <c r="E227" s="3" t="s">
        <v>22</v>
      </c>
      <c r="F227" s="3" t="s">
        <v>844</v>
      </c>
      <c r="G227" s="3" t="s">
        <v>3440</v>
      </c>
      <c r="H227" s="7">
        <v>45010</v>
      </c>
      <c r="I227" s="6">
        <v>86143</v>
      </c>
      <c r="J227" s="6">
        <v>0</v>
      </c>
      <c r="K227" s="4">
        <v>4819</v>
      </c>
      <c r="L227" s="3" t="s">
        <v>845</v>
      </c>
      <c r="M227" s="3" t="s">
        <v>846</v>
      </c>
      <c r="N227" s="5">
        <f t="shared" si="3"/>
        <v>0</v>
      </c>
    </row>
    <row r="228" spans="1:14" ht="14.4" x14ac:dyDescent="0.3">
      <c r="A228" s="3" t="s">
        <v>847</v>
      </c>
      <c r="B228" s="3" t="s">
        <v>829</v>
      </c>
      <c r="C228" s="3" t="s">
        <v>56</v>
      </c>
      <c r="D228" s="3" t="s">
        <v>830</v>
      </c>
      <c r="E228" s="3" t="s">
        <v>831</v>
      </c>
      <c r="F228" s="3" t="s">
        <v>848</v>
      </c>
      <c r="G228" s="3">
        <v>715</v>
      </c>
      <c r="H228" s="7">
        <v>45007</v>
      </c>
      <c r="I228" s="6">
        <v>249153.55</v>
      </c>
      <c r="J228" s="6">
        <v>44847.64</v>
      </c>
      <c r="K228" s="4">
        <v>76071995</v>
      </c>
      <c r="L228" s="3"/>
      <c r="M228" s="3" t="s">
        <v>849</v>
      </c>
      <c r="N228" s="5">
        <f t="shared" si="3"/>
        <v>18.000000401358921</v>
      </c>
    </row>
    <row r="229" spans="1:14" ht="14.4" x14ac:dyDescent="0.3">
      <c r="A229" s="3" t="s">
        <v>850</v>
      </c>
      <c r="B229" s="3" t="s">
        <v>851</v>
      </c>
      <c r="C229" s="3" t="s">
        <v>20</v>
      </c>
      <c r="D229" s="3" t="s">
        <v>852</v>
      </c>
      <c r="E229" s="3" t="s">
        <v>22</v>
      </c>
      <c r="F229" s="3" t="s">
        <v>853</v>
      </c>
      <c r="G229" s="3" t="s">
        <v>3441</v>
      </c>
      <c r="H229" s="7">
        <v>45005</v>
      </c>
      <c r="I229" s="6">
        <v>85624</v>
      </c>
      <c r="J229" s="6">
        <v>15412.32</v>
      </c>
      <c r="K229" s="4">
        <v>4819</v>
      </c>
      <c r="L229" s="3"/>
      <c r="M229" s="3" t="s">
        <v>32</v>
      </c>
      <c r="N229" s="5">
        <f t="shared" si="3"/>
        <v>18</v>
      </c>
    </row>
    <row r="230" spans="1:14" ht="14.4" x14ac:dyDescent="0.3">
      <c r="A230" s="3" t="s">
        <v>854</v>
      </c>
      <c r="B230" s="3" t="s">
        <v>810</v>
      </c>
      <c r="C230" s="3" t="s">
        <v>20</v>
      </c>
      <c r="D230" s="3" t="s">
        <v>811</v>
      </c>
      <c r="E230" s="3" t="s">
        <v>22</v>
      </c>
      <c r="F230" s="3" t="s">
        <v>855</v>
      </c>
      <c r="G230" s="3">
        <v>1469</v>
      </c>
      <c r="H230" s="7">
        <v>45000</v>
      </c>
      <c r="I230" s="6">
        <v>35941.199999999997</v>
      </c>
      <c r="J230" s="6">
        <v>6470</v>
      </c>
      <c r="K230" s="4">
        <v>4819</v>
      </c>
      <c r="L230" s="3"/>
      <c r="M230" s="3" t="s">
        <v>846</v>
      </c>
      <c r="N230" s="5">
        <f t="shared" si="3"/>
        <v>18.001624876186661</v>
      </c>
    </row>
    <row r="231" spans="1:14" ht="14.4" x14ac:dyDescent="0.3">
      <c r="A231" s="3" t="s">
        <v>856</v>
      </c>
      <c r="B231" s="3" t="s">
        <v>815</v>
      </c>
      <c r="C231" s="3" t="s">
        <v>20</v>
      </c>
      <c r="D231" s="3" t="s">
        <v>816</v>
      </c>
      <c r="E231" s="3" t="s">
        <v>22</v>
      </c>
      <c r="F231" s="3" t="s">
        <v>857</v>
      </c>
      <c r="G231" s="3" t="s">
        <v>3442</v>
      </c>
      <c r="H231" s="7">
        <v>44998</v>
      </c>
      <c r="I231" s="6">
        <v>50624</v>
      </c>
      <c r="J231" s="6">
        <v>9112.32</v>
      </c>
      <c r="K231" s="4">
        <v>4819</v>
      </c>
      <c r="L231" s="3"/>
      <c r="M231" s="3" t="s">
        <v>32</v>
      </c>
      <c r="N231" s="5">
        <f t="shared" si="3"/>
        <v>18</v>
      </c>
    </row>
    <row r="232" spans="1:14" ht="14.4" x14ac:dyDescent="0.3">
      <c r="A232" s="3" t="s">
        <v>858</v>
      </c>
      <c r="B232" s="3" t="s">
        <v>859</v>
      </c>
      <c r="C232" s="3" t="s">
        <v>134</v>
      </c>
      <c r="D232" s="3" t="s">
        <v>860</v>
      </c>
      <c r="E232" s="3" t="s">
        <v>15</v>
      </c>
      <c r="F232" s="3" t="s">
        <v>861</v>
      </c>
      <c r="G232" s="3" t="s">
        <v>3443</v>
      </c>
      <c r="H232" s="7">
        <v>44999</v>
      </c>
      <c r="I232" s="6">
        <v>186000</v>
      </c>
      <c r="J232" s="6">
        <v>33480</v>
      </c>
      <c r="K232" s="4">
        <v>29224990</v>
      </c>
      <c r="L232" s="3" t="s">
        <v>862</v>
      </c>
      <c r="M232" s="3" t="s">
        <v>863</v>
      </c>
      <c r="N232" s="5">
        <f t="shared" si="3"/>
        <v>18</v>
      </c>
    </row>
    <row r="233" spans="1:14" ht="14.4" x14ac:dyDescent="0.3">
      <c r="A233" s="3" t="s">
        <v>864</v>
      </c>
      <c r="B233" s="3" t="s">
        <v>803</v>
      </c>
      <c r="C233" s="3" t="s">
        <v>535</v>
      </c>
      <c r="D233" s="3" t="s">
        <v>865</v>
      </c>
      <c r="E233" s="3" t="s">
        <v>378</v>
      </c>
      <c r="F233" s="3" t="s">
        <v>866</v>
      </c>
      <c r="G233" s="3" t="s">
        <v>3444</v>
      </c>
      <c r="H233" s="7">
        <v>44988</v>
      </c>
      <c r="I233" s="6">
        <v>54000</v>
      </c>
      <c r="J233" s="6">
        <v>9720</v>
      </c>
      <c r="K233" s="4">
        <v>29420090</v>
      </c>
      <c r="L233" s="3"/>
      <c r="M233" s="3" t="s">
        <v>280</v>
      </c>
      <c r="N233" s="5">
        <f t="shared" si="3"/>
        <v>18</v>
      </c>
    </row>
    <row r="234" spans="1:14" ht="14.4" x14ac:dyDescent="0.3">
      <c r="A234" s="3" t="s">
        <v>867</v>
      </c>
      <c r="B234" s="3" t="s">
        <v>810</v>
      </c>
      <c r="C234" s="3" t="s">
        <v>20</v>
      </c>
      <c r="D234" s="3" t="s">
        <v>811</v>
      </c>
      <c r="E234" s="3" t="s">
        <v>22</v>
      </c>
      <c r="F234" s="3" t="s">
        <v>868</v>
      </c>
      <c r="G234" s="3">
        <v>1406</v>
      </c>
      <c r="H234" s="7">
        <v>44989</v>
      </c>
      <c r="I234" s="6">
        <v>7192.85</v>
      </c>
      <c r="J234" s="6">
        <v>1294.71</v>
      </c>
      <c r="K234" s="4">
        <v>4819</v>
      </c>
      <c r="L234" s="3"/>
      <c r="M234" s="3" t="s">
        <v>869</v>
      </c>
      <c r="N234" s="5">
        <f t="shared" si="3"/>
        <v>17.999958291914886</v>
      </c>
    </row>
    <row r="235" spans="1:14" ht="14.4" x14ac:dyDescent="0.3">
      <c r="A235" s="3" t="s">
        <v>870</v>
      </c>
      <c r="B235" s="3" t="s">
        <v>829</v>
      </c>
      <c r="C235" s="3" t="s">
        <v>56</v>
      </c>
      <c r="D235" s="3" t="s">
        <v>830</v>
      </c>
      <c r="E235" s="3" t="s">
        <v>831</v>
      </c>
      <c r="F235" s="3" t="s">
        <v>871</v>
      </c>
      <c r="G235" s="3">
        <v>736</v>
      </c>
      <c r="H235" s="7">
        <v>45015</v>
      </c>
      <c r="I235" s="6">
        <v>75840.899999999994</v>
      </c>
      <c r="J235" s="6">
        <v>13651.36</v>
      </c>
      <c r="K235" s="4">
        <v>76071995</v>
      </c>
      <c r="L235" s="3"/>
      <c r="M235" s="3" t="s">
        <v>869</v>
      </c>
      <c r="N235" s="5">
        <f t="shared" si="3"/>
        <v>17.999997362900494</v>
      </c>
    </row>
    <row r="236" spans="1:14" ht="14.4" x14ac:dyDescent="0.3">
      <c r="A236" s="3" t="s">
        <v>872</v>
      </c>
      <c r="B236" s="3" t="s">
        <v>873</v>
      </c>
      <c r="C236" s="3" t="s">
        <v>20</v>
      </c>
      <c r="D236" s="3" t="s">
        <v>874</v>
      </c>
      <c r="E236" s="3" t="s">
        <v>22</v>
      </c>
      <c r="F236" s="3" t="s">
        <v>875</v>
      </c>
      <c r="G236" s="3" t="s">
        <v>3445</v>
      </c>
      <c r="H236" s="7">
        <v>45014</v>
      </c>
      <c r="I236" s="6">
        <v>290290</v>
      </c>
      <c r="J236" s="6">
        <v>52252.2</v>
      </c>
      <c r="K236" s="4">
        <v>29321990</v>
      </c>
      <c r="L236" s="3" t="s">
        <v>876</v>
      </c>
      <c r="M236" s="3" t="s">
        <v>813</v>
      </c>
      <c r="N236" s="5">
        <f t="shared" si="3"/>
        <v>18</v>
      </c>
    </row>
    <row r="237" spans="1:14" ht="14.4" x14ac:dyDescent="0.3">
      <c r="A237" s="3" t="s">
        <v>877</v>
      </c>
      <c r="B237" s="3" t="s">
        <v>859</v>
      </c>
      <c r="C237" s="3" t="s">
        <v>134</v>
      </c>
      <c r="D237" s="3" t="s">
        <v>860</v>
      </c>
      <c r="E237" s="3" t="s">
        <v>15</v>
      </c>
      <c r="F237" s="3" t="s">
        <v>878</v>
      </c>
      <c r="G237" s="3" t="s">
        <v>3446</v>
      </c>
      <c r="H237" s="7">
        <v>45012</v>
      </c>
      <c r="I237" s="6">
        <v>305000</v>
      </c>
      <c r="J237" s="6">
        <v>54900</v>
      </c>
      <c r="K237" s="4">
        <v>29224990</v>
      </c>
      <c r="L237" s="3" t="s">
        <v>862</v>
      </c>
      <c r="M237" s="3" t="s">
        <v>863</v>
      </c>
      <c r="N237" s="5">
        <f t="shared" si="3"/>
        <v>18</v>
      </c>
    </row>
    <row r="238" spans="1:14" ht="14.4" x14ac:dyDescent="0.3">
      <c r="A238" s="3" t="s">
        <v>879</v>
      </c>
      <c r="B238" s="3" t="s">
        <v>859</v>
      </c>
      <c r="C238" s="3" t="s">
        <v>134</v>
      </c>
      <c r="D238" s="3" t="s">
        <v>860</v>
      </c>
      <c r="E238" s="3" t="s">
        <v>15</v>
      </c>
      <c r="F238" s="3" t="s">
        <v>880</v>
      </c>
      <c r="G238" s="3" t="s">
        <v>3447</v>
      </c>
      <c r="H238" s="7">
        <v>45009</v>
      </c>
      <c r="I238" s="6">
        <v>183500</v>
      </c>
      <c r="J238" s="6">
        <v>33030</v>
      </c>
      <c r="K238" s="4">
        <v>29224990</v>
      </c>
      <c r="L238" s="3" t="s">
        <v>862</v>
      </c>
      <c r="M238" s="3" t="s">
        <v>881</v>
      </c>
      <c r="N238" s="5">
        <f t="shared" si="3"/>
        <v>18</v>
      </c>
    </row>
    <row r="239" spans="1:14" ht="14.4" x14ac:dyDescent="0.3">
      <c r="A239" s="3" t="s">
        <v>882</v>
      </c>
      <c r="B239" s="3" t="s">
        <v>829</v>
      </c>
      <c r="C239" s="3" t="s">
        <v>56</v>
      </c>
      <c r="D239" s="3" t="s">
        <v>830</v>
      </c>
      <c r="E239" s="3" t="s">
        <v>831</v>
      </c>
      <c r="F239" s="3" t="s">
        <v>883</v>
      </c>
      <c r="G239" s="3">
        <v>718</v>
      </c>
      <c r="H239" s="7">
        <v>45007</v>
      </c>
      <c r="I239" s="6">
        <v>9900</v>
      </c>
      <c r="J239" s="6">
        <v>1782</v>
      </c>
      <c r="K239" s="4">
        <v>84425010</v>
      </c>
      <c r="L239" s="3"/>
      <c r="M239" s="3" t="s">
        <v>849</v>
      </c>
      <c r="N239" s="5">
        <f t="shared" si="3"/>
        <v>18</v>
      </c>
    </row>
    <row r="240" spans="1:14" ht="14.4" x14ac:dyDescent="0.3">
      <c r="A240" s="3" t="s">
        <v>884</v>
      </c>
      <c r="B240" s="3" t="s">
        <v>803</v>
      </c>
      <c r="C240" s="3" t="s">
        <v>535</v>
      </c>
      <c r="D240" s="3" t="s">
        <v>865</v>
      </c>
      <c r="E240" s="3" t="s">
        <v>378</v>
      </c>
      <c r="F240" s="3" t="s">
        <v>885</v>
      </c>
      <c r="G240" s="3" t="s">
        <v>3448</v>
      </c>
      <c r="H240" s="7">
        <v>45006</v>
      </c>
      <c r="I240" s="6">
        <v>31500</v>
      </c>
      <c r="J240" s="6">
        <v>5670</v>
      </c>
      <c r="K240" s="4">
        <v>96020030</v>
      </c>
      <c r="L240" s="3"/>
      <c r="M240" s="3" t="s">
        <v>32</v>
      </c>
      <c r="N240" s="5">
        <f t="shared" si="3"/>
        <v>18</v>
      </c>
    </row>
    <row r="241" spans="1:14" ht="14.4" x14ac:dyDescent="0.3">
      <c r="A241" s="3" t="s">
        <v>886</v>
      </c>
      <c r="B241" s="3" t="s">
        <v>887</v>
      </c>
      <c r="C241" s="3" t="s">
        <v>20</v>
      </c>
      <c r="D241" s="3" t="s">
        <v>799</v>
      </c>
      <c r="E241" s="3" t="s">
        <v>22</v>
      </c>
      <c r="F241" s="3" t="s">
        <v>888</v>
      </c>
      <c r="G241" s="3" t="s">
        <v>3449</v>
      </c>
      <c r="H241" s="7">
        <v>44994</v>
      </c>
      <c r="I241" s="6">
        <v>191250</v>
      </c>
      <c r="J241" s="6">
        <v>34425</v>
      </c>
      <c r="K241" s="4">
        <v>28112200</v>
      </c>
      <c r="L241" s="3" t="s">
        <v>889</v>
      </c>
      <c r="M241" s="3" t="s">
        <v>835</v>
      </c>
      <c r="N241" s="5">
        <f t="shared" si="3"/>
        <v>18</v>
      </c>
    </row>
    <row r="242" spans="1:14" ht="14.4" x14ac:dyDescent="0.3">
      <c r="A242" s="3" t="s">
        <v>890</v>
      </c>
      <c r="B242" s="3" t="s">
        <v>819</v>
      </c>
      <c r="C242" s="3" t="s">
        <v>20</v>
      </c>
      <c r="D242" s="3" t="s">
        <v>820</v>
      </c>
      <c r="E242" s="3" t="s">
        <v>22</v>
      </c>
      <c r="F242" s="3" t="s">
        <v>891</v>
      </c>
      <c r="G242" s="3" t="s">
        <v>3450</v>
      </c>
      <c r="H242" s="7">
        <v>45014</v>
      </c>
      <c r="I242" s="6">
        <v>230730.5</v>
      </c>
      <c r="J242" s="6">
        <v>41531.49</v>
      </c>
      <c r="K242" s="4">
        <v>29420090</v>
      </c>
      <c r="L242" s="3"/>
      <c r="M242" s="3" t="s">
        <v>813</v>
      </c>
      <c r="N242" s="5">
        <f t="shared" si="3"/>
        <v>18</v>
      </c>
    </row>
    <row r="243" spans="1:14" ht="14.4" x14ac:dyDescent="0.3">
      <c r="A243" s="3" t="s">
        <v>892</v>
      </c>
      <c r="B243" s="3" t="s">
        <v>893</v>
      </c>
      <c r="C243" s="3" t="s">
        <v>894</v>
      </c>
      <c r="D243" s="3" t="s">
        <v>895</v>
      </c>
      <c r="E243" s="3" t="s">
        <v>896</v>
      </c>
      <c r="F243" s="3" t="s">
        <v>897</v>
      </c>
      <c r="G243" s="3" t="s">
        <v>3451</v>
      </c>
      <c r="H243" s="7">
        <v>45013</v>
      </c>
      <c r="I243" s="6">
        <v>524000</v>
      </c>
      <c r="J243" s="6">
        <v>94320</v>
      </c>
      <c r="K243" s="4">
        <v>29419090</v>
      </c>
      <c r="L243" s="3" t="s">
        <v>898</v>
      </c>
      <c r="M243" s="3" t="s">
        <v>280</v>
      </c>
      <c r="N243" s="5">
        <f t="shared" si="3"/>
        <v>18</v>
      </c>
    </row>
    <row r="244" spans="1:14" ht="14.4" x14ac:dyDescent="0.3">
      <c r="A244" s="3" t="s">
        <v>899</v>
      </c>
      <c r="B244" s="3" t="s">
        <v>900</v>
      </c>
      <c r="C244" s="3" t="s">
        <v>20</v>
      </c>
      <c r="D244" s="3" t="s">
        <v>901</v>
      </c>
      <c r="E244" s="3" t="s">
        <v>22</v>
      </c>
      <c r="F244" s="3" t="s">
        <v>902</v>
      </c>
      <c r="G244" s="3" t="s">
        <v>3452</v>
      </c>
      <c r="H244" s="7">
        <v>45012</v>
      </c>
      <c r="I244" s="6">
        <v>81000</v>
      </c>
      <c r="J244" s="6">
        <v>14580</v>
      </c>
      <c r="K244" s="4">
        <v>29372100</v>
      </c>
      <c r="L244" s="3" t="s">
        <v>903</v>
      </c>
      <c r="M244" s="3" t="s">
        <v>200</v>
      </c>
      <c r="N244" s="5">
        <f t="shared" si="3"/>
        <v>18</v>
      </c>
    </row>
    <row r="245" spans="1:14" ht="14.4" x14ac:dyDescent="0.3">
      <c r="A245" s="3" t="s">
        <v>904</v>
      </c>
      <c r="B245" s="3" t="s">
        <v>905</v>
      </c>
      <c r="C245" s="3" t="s">
        <v>672</v>
      </c>
      <c r="D245" s="3" t="s">
        <v>906</v>
      </c>
      <c r="E245" s="3" t="s">
        <v>80</v>
      </c>
      <c r="F245" s="3" t="s">
        <v>907</v>
      </c>
      <c r="G245" s="3">
        <v>4866</v>
      </c>
      <c r="H245" s="7">
        <v>45007</v>
      </c>
      <c r="I245" s="6">
        <v>275517.76</v>
      </c>
      <c r="J245" s="6"/>
      <c r="K245" s="4">
        <v>39204900</v>
      </c>
      <c r="L245" s="3" t="s">
        <v>908</v>
      </c>
      <c r="M245" s="3" t="s">
        <v>909</v>
      </c>
      <c r="N245" s="5">
        <f t="shared" si="3"/>
        <v>0</v>
      </c>
    </row>
    <row r="246" spans="1:14" ht="14.4" x14ac:dyDescent="0.3">
      <c r="A246" s="3" t="s">
        <v>910</v>
      </c>
      <c r="B246" s="3" t="s">
        <v>911</v>
      </c>
      <c r="C246" s="3" t="s">
        <v>912</v>
      </c>
      <c r="D246" s="3" t="s">
        <v>913</v>
      </c>
      <c r="E246" s="3" t="s">
        <v>69</v>
      </c>
      <c r="F246" s="3" t="s">
        <v>914</v>
      </c>
      <c r="G246" s="3" t="s">
        <v>3453</v>
      </c>
      <c r="H246" s="7">
        <v>45000</v>
      </c>
      <c r="I246" s="6">
        <v>127500</v>
      </c>
      <c r="J246" s="6">
        <v>22950</v>
      </c>
      <c r="K246" s="4">
        <v>39140020</v>
      </c>
      <c r="L246" s="3" t="s">
        <v>915</v>
      </c>
      <c r="M246" s="3" t="s">
        <v>32</v>
      </c>
      <c r="N246" s="5">
        <f t="shared" si="3"/>
        <v>18</v>
      </c>
    </row>
    <row r="247" spans="1:14" ht="14.4" x14ac:dyDescent="0.3">
      <c r="A247" s="3" t="s">
        <v>916</v>
      </c>
      <c r="B247" s="3" t="s">
        <v>917</v>
      </c>
      <c r="C247" s="3" t="s">
        <v>20</v>
      </c>
      <c r="D247" s="3" t="s">
        <v>918</v>
      </c>
      <c r="E247" s="3" t="s">
        <v>22</v>
      </c>
      <c r="F247" s="3" t="s">
        <v>919</v>
      </c>
      <c r="G247" s="3" t="s">
        <v>3454</v>
      </c>
      <c r="H247" s="7">
        <v>44999</v>
      </c>
      <c r="I247" s="6">
        <v>248347.8</v>
      </c>
      <c r="J247" s="6">
        <v>44702.6</v>
      </c>
      <c r="K247" s="4">
        <v>29335990</v>
      </c>
      <c r="L247" s="3" t="s">
        <v>920</v>
      </c>
      <c r="M247" s="3" t="s">
        <v>32</v>
      </c>
      <c r="N247" s="5">
        <f t="shared" si="3"/>
        <v>17.999998389355575</v>
      </c>
    </row>
    <row r="248" spans="1:14" ht="14.4" x14ac:dyDescent="0.3">
      <c r="A248" s="3" t="s">
        <v>921</v>
      </c>
      <c r="B248" s="3" t="s">
        <v>922</v>
      </c>
      <c r="C248" s="3" t="s">
        <v>923</v>
      </c>
      <c r="D248" s="3" t="s">
        <v>924</v>
      </c>
      <c r="E248" s="3" t="s">
        <v>69</v>
      </c>
      <c r="F248" s="3" t="s">
        <v>925</v>
      </c>
      <c r="G248" s="3" t="s">
        <v>3455</v>
      </c>
      <c r="H248" s="7">
        <v>44995</v>
      </c>
      <c r="I248" s="6">
        <v>408000</v>
      </c>
      <c r="J248" s="6">
        <v>73440</v>
      </c>
      <c r="K248" s="4">
        <v>292421</v>
      </c>
      <c r="L248" s="3" t="s">
        <v>926</v>
      </c>
      <c r="M248" s="3" t="s">
        <v>32</v>
      </c>
      <c r="N248" s="5">
        <f t="shared" si="3"/>
        <v>18</v>
      </c>
    </row>
    <row r="249" spans="1:14" ht="14.4" x14ac:dyDescent="0.3">
      <c r="A249" s="3" t="s">
        <v>927</v>
      </c>
      <c r="B249" s="3" t="s">
        <v>905</v>
      </c>
      <c r="C249" s="3" t="s">
        <v>672</v>
      </c>
      <c r="D249" s="3" t="s">
        <v>906</v>
      </c>
      <c r="E249" s="3" t="s">
        <v>80</v>
      </c>
      <c r="F249" s="3" t="s">
        <v>928</v>
      </c>
      <c r="G249" s="3">
        <v>4675</v>
      </c>
      <c r="H249" s="7">
        <v>44994</v>
      </c>
      <c r="I249" s="6">
        <v>200324.44</v>
      </c>
      <c r="J249" s="6"/>
      <c r="K249" s="4">
        <v>39204900</v>
      </c>
      <c r="L249" s="3" t="s">
        <v>929</v>
      </c>
      <c r="M249" s="3" t="s">
        <v>930</v>
      </c>
      <c r="N249" s="5">
        <f t="shared" si="3"/>
        <v>0</v>
      </c>
    </row>
    <row r="250" spans="1:14" ht="14.4" x14ac:dyDescent="0.3">
      <c r="A250" s="3" t="s">
        <v>931</v>
      </c>
      <c r="B250" s="3" t="s">
        <v>932</v>
      </c>
      <c r="C250" s="3" t="s">
        <v>20</v>
      </c>
      <c r="D250" s="3" t="s">
        <v>933</v>
      </c>
      <c r="E250" s="3" t="s">
        <v>22</v>
      </c>
      <c r="F250" s="3" t="s">
        <v>934</v>
      </c>
      <c r="G250" s="3" t="s">
        <v>3456</v>
      </c>
      <c r="H250" s="7">
        <v>45012</v>
      </c>
      <c r="I250" s="6">
        <v>121500</v>
      </c>
      <c r="J250" s="6">
        <v>21870</v>
      </c>
      <c r="K250" s="4">
        <v>32050000</v>
      </c>
      <c r="L250" s="3" t="s">
        <v>935</v>
      </c>
      <c r="M250" s="3" t="s">
        <v>936</v>
      </c>
      <c r="N250" s="5">
        <f t="shared" si="3"/>
        <v>18</v>
      </c>
    </row>
    <row r="251" spans="1:14" ht="14.4" x14ac:dyDescent="0.3">
      <c r="A251" s="3" t="s">
        <v>937</v>
      </c>
      <c r="B251" s="3" t="s">
        <v>938</v>
      </c>
      <c r="C251" s="3" t="s">
        <v>939</v>
      </c>
      <c r="D251" s="3" t="s">
        <v>940</v>
      </c>
      <c r="E251" s="3" t="s">
        <v>69</v>
      </c>
      <c r="F251" s="3" t="s">
        <v>941</v>
      </c>
      <c r="G251" s="3" t="s">
        <v>3457</v>
      </c>
      <c r="H251" s="7">
        <v>45002</v>
      </c>
      <c r="I251" s="6">
        <v>1350000</v>
      </c>
      <c r="J251" s="6">
        <v>243000</v>
      </c>
      <c r="K251" s="4">
        <v>29222933</v>
      </c>
      <c r="L251" s="3" t="s">
        <v>942</v>
      </c>
      <c r="M251" s="3" t="s">
        <v>943</v>
      </c>
      <c r="N251" s="5">
        <f t="shared" si="3"/>
        <v>18</v>
      </c>
    </row>
    <row r="252" spans="1:14" ht="14.4" x14ac:dyDescent="0.3">
      <c r="A252" s="3" t="s">
        <v>944</v>
      </c>
      <c r="B252" s="3" t="s">
        <v>945</v>
      </c>
      <c r="C252" s="3" t="s">
        <v>946</v>
      </c>
      <c r="D252" s="3" t="s">
        <v>947</v>
      </c>
      <c r="E252" s="3" t="s">
        <v>136</v>
      </c>
      <c r="F252" s="3" t="s">
        <v>948</v>
      </c>
      <c r="G252" s="3" t="s">
        <v>3458</v>
      </c>
      <c r="H252" s="7">
        <v>44999</v>
      </c>
      <c r="I252" s="6">
        <v>46250</v>
      </c>
      <c r="J252" s="6">
        <v>8325</v>
      </c>
      <c r="K252" s="4">
        <v>29332990</v>
      </c>
      <c r="L252" s="3" t="s">
        <v>949</v>
      </c>
      <c r="M252" s="3" t="s">
        <v>950</v>
      </c>
      <c r="N252" s="5">
        <f t="shared" si="3"/>
        <v>18</v>
      </c>
    </row>
    <row r="253" spans="1:14" ht="14.4" x14ac:dyDescent="0.3">
      <c r="A253" s="3" t="s">
        <v>951</v>
      </c>
      <c r="B253" s="3" t="s">
        <v>952</v>
      </c>
      <c r="C253" s="3" t="s">
        <v>20</v>
      </c>
      <c r="D253" s="3" t="s">
        <v>953</v>
      </c>
      <c r="E253" s="3" t="s">
        <v>22</v>
      </c>
      <c r="F253" s="3" t="s">
        <v>954</v>
      </c>
      <c r="G253" s="3" t="s">
        <v>3459</v>
      </c>
      <c r="H253" s="7">
        <v>44994</v>
      </c>
      <c r="I253" s="6">
        <v>93750</v>
      </c>
      <c r="J253" s="6">
        <v>16875</v>
      </c>
      <c r="K253" s="4">
        <v>29420090</v>
      </c>
      <c r="L253" s="3" t="s">
        <v>955</v>
      </c>
      <c r="M253" s="3" t="s">
        <v>32</v>
      </c>
      <c r="N253" s="5">
        <f t="shared" si="3"/>
        <v>18</v>
      </c>
    </row>
    <row r="254" spans="1:14" ht="14.4" x14ac:dyDescent="0.3">
      <c r="A254" s="3" t="s">
        <v>956</v>
      </c>
      <c r="B254" s="3" t="s">
        <v>957</v>
      </c>
      <c r="C254" s="3" t="s">
        <v>134</v>
      </c>
      <c r="D254" s="3" t="s">
        <v>958</v>
      </c>
      <c r="E254" s="3" t="s">
        <v>396</v>
      </c>
      <c r="F254" s="3" t="s">
        <v>959</v>
      </c>
      <c r="G254" s="3">
        <v>174</v>
      </c>
      <c r="H254" s="7">
        <v>44876</v>
      </c>
      <c r="I254" s="6">
        <v>58003.8</v>
      </c>
      <c r="J254" s="6">
        <v>10440.68</v>
      </c>
      <c r="K254" s="4">
        <v>4821</v>
      </c>
      <c r="L254" s="3" t="s">
        <v>960</v>
      </c>
      <c r="M254" s="3" t="s">
        <v>961</v>
      </c>
      <c r="N254" s="5">
        <f t="shared" si="3"/>
        <v>17.999993103900088</v>
      </c>
    </row>
    <row r="255" spans="1:14" ht="14.4" x14ac:dyDescent="0.3">
      <c r="A255" s="3" t="s">
        <v>962</v>
      </c>
      <c r="B255" s="3" t="s">
        <v>542</v>
      </c>
      <c r="C255" s="3" t="s">
        <v>20</v>
      </c>
      <c r="D255" s="3" t="s">
        <v>543</v>
      </c>
      <c r="E255" s="3" t="s">
        <v>22</v>
      </c>
      <c r="F255" s="3" t="s">
        <v>963</v>
      </c>
      <c r="G255" s="3">
        <v>52</v>
      </c>
      <c r="H255" s="7">
        <v>44881</v>
      </c>
      <c r="I255" s="6">
        <v>213000</v>
      </c>
      <c r="J255" s="6">
        <v>38340</v>
      </c>
      <c r="K255" s="4">
        <v>39129090</v>
      </c>
      <c r="L255" s="3"/>
      <c r="M255" s="3" t="s">
        <v>964</v>
      </c>
      <c r="N255" s="5">
        <f t="shared" si="3"/>
        <v>18</v>
      </c>
    </row>
    <row r="256" spans="1:14" ht="14.4" x14ac:dyDescent="0.3">
      <c r="A256" s="3" t="s">
        <v>965</v>
      </c>
      <c r="B256" s="3" t="s">
        <v>957</v>
      </c>
      <c r="C256" s="3" t="s">
        <v>134</v>
      </c>
      <c r="D256" s="3" t="s">
        <v>958</v>
      </c>
      <c r="E256" s="3" t="s">
        <v>396</v>
      </c>
      <c r="F256" s="3" t="s">
        <v>966</v>
      </c>
      <c r="G256" s="3">
        <v>179</v>
      </c>
      <c r="H256" s="7">
        <v>44886</v>
      </c>
      <c r="I256" s="6">
        <v>118040</v>
      </c>
      <c r="J256" s="6">
        <v>21247.200000000001</v>
      </c>
      <c r="K256" s="4">
        <v>4821</v>
      </c>
      <c r="L256" s="3" t="s">
        <v>960</v>
      </c>
      <c r="M256" s="3" t="s">
        <v>961</v>
      </c>
      <c r="N256" s="5">
        <f t="shared" si="3"/>
        <v>18</v>
      </c>
    </row>
    <row r="257" spans="1:14" ht="14.4" x14ac:dyDescent="0.3">
      <c r="A257" s="3" t="s">
        <v>967</v>
      </c>
      <c r="B257" s="3" t="s">
        <v>55</v>
      </c>
      <c r="C257" s="3" t="s">
        <v>56</v>
      </c>
      <c r="D257" s="3" t="s">
        <v>57</v>
      </c>
      <c r="E257" s="3" t="s">
        <v>22</v>
      </c>
      <c r="F257" s="3" t="s">
        <v>968</v>
      </c>
      <c r="G257" s="3" t="s">
        <v>3460</v>
      </c>
      <c r="H257" s="7">
        <v>44872</v>
      </c>
      <c r="I257" s="6">
        <v>195200</v>
      </c>
      <c r="J257" s="6">
        <v>35136</v>
      </c>
      <c r="K257" s="4">
        <v>96020030</v>
      </c>
      <c r="L257" s="3"/>
      <c r="M257" s="3" t="s">
        <v>36</v>
      </c>
      <c r="N257" s="5">
        <f t="shared" si="3"/>
        <v>18</v>
      </c>
    </row>
    <row r="258" spans="1:14" ht="14.4" x14ac:dyDescent="0.3">
      <c r="A258" s="3" t="s">
        <v>969</v>
      </c>
      <c r="B258" s="3" t="s">
        <v>433</v>
      </c>
      <c r="C258" s="3" t="s">
        <v>20</v>
      </c>
      <c r="D258" s="3" t="s">
        <v>156</v>
      </c>
      <c r="E258" s="3" t="s">
        <v>22</v>
      </c>
      <c r="F258" s="3" t="s">
        <v>970</v>
      </c>
      <c r="G258" s="3" t="s">
        <v>3461</v>
      </c>
      <c r="H258" s="7">
        <v>44870</v>
      </c>
      <c r="I258" s="6">
        <v>44727.199999999997</v>
      </c>
      <c r="J258" s="6">
        <v>8050.9</v>
      </c>
      <c r="K258" s="4">
        <v>7607</v>
      </c>
      <c r="L258" s="3" t="s">
        <v>435</v>
      </c>
      <c r="M258" s="3" t="s">
        <v>436</v>
      </c>
      <c r="N258" s="5">
        <f t="shared" si="3"/>
        <v>18.000008943103975</v>
      </c>
    </row>
    <row r="259" spans="1:14" ht="14.4" x14ac:dyDescent="0.3">
      <c r="A259" s="3" t="s">
        <v>971</v>
      </c>
      <c r="B259" s="3" t="s">
        <v>94</v>
      </c>
      <c r="C259" s="3" t="s">
        <v>26</v>
      </c>
      <c r="D259" s="3" t="s">
        <v>95</v>
      </c>
      <c r="E259" s="3" t="s">
        <v>22</v>
      </c>
      <c r="F259" s="3" t="s">
        <v>972</v>
      </c>
      <c r="G259" s="3" t="s">
        <v>3462</v>
      </c>
      <c r="H259" s="7">
        <v>44868</v>
      </c>
      <c r="I259" s="6">
        <v>205045.5</v>
      </c>
      <c r="J259" s="6">
        <v>34996.879999999997</v>
      </c>
      <c r="K259" s="4">
        <v>48192090</v>
      </c>
      <c r="L259" s="3" t="s">
        <v>97</v>
      </c>
      <c r="M259" s="3" t="s">
        <v>104</v>
      </c>
      <c r="N259" s="5">
        <f t="shared" ref="N259:N322" si="4">J259*100/I259</f>
        <v>17.067860548024704</v>
      </c>
    </row>
    <row r="260" spans="1:14" ht="14.4" x14ac:dyDescent="0.3">
      <c r="A260" s="3" t="s">
        <v>973</v>
      </c>
      <c r="B260" s="3" t="s">
        <v>974</v>
      </c>
      <c r="C260" s="3" t="s">
        <v>975</v>
      </c>
      <c r="D260" s="3" t="s">
        <v>976</v>
      </c>
      <c r="E260" s="3" t="s">
        <v>136</v>
      </c>
      <c r="F260" s="3" t="s">
        <v>977</v>
      </c>
      <c r="G260" s="3" t="s">
        <v>3463</v>
      </c>
      <c r="H260" s="7">
        <v>44867</v>
      </c>
      <c r="I260" s="6">
        <v>156000</v>
      </c>
      <c r="J260" s="6">
        <v>28080</v>
      </c>
      <c r="K260" s="4">
        <v>28112200</v>
      </c>
      <c r="L260" s="3" t="s">
        <v>978</v>
      </c>
      <c r="M260" s="3" t="s">
        <v>36</v>
      </c>
      <c r="N260" s="5">
        <f t="shared" si="4"/>
        <v>18</v>
      </c>
    </row>
    <row r="261" spans="1:14" ht="14.4" x14ac:dyDescent="0.3">
      <c r="A261" s="3" t="s">
        <v>979</v>
      </c>
      <c r="B261" s="3" t="s">
        <v>980</v>
      </c>
      <c r="C261" s="3" t="s">
        <v>20</v>
      </c>
      <c r="D261" s="3" t="s">
        <v>755</v>
      </c>
      <c r="E261" s="3" t="s">
        <v>22</v>
      </c>
      <c r="F261" s="3" t="s">
        <v>981</v>
      </c>
      <c r="G261" s="3">
        <v>5527</v>
      </c>
      <c r="H261" s="7">
        <v>44895</v>
      </c>
      <c r="I261" s="6">
        <v>43883</v>
      </c>
      <c r="J261" s="6">
        <v>7898.94</v>
      </c>
      <c r="K261" s="4">
        <v>8442</v>
      </c>
      <c r="L261" s="3" t="s">
        <v>982</v>
      </c>
      <c r="M261" s="3" t="s">
        <v>983</v>
      </c>
      <c r="N261" s="5">
        <f t="shared" si="4"/>
        <v>18</v>
      </c>
    </row>
    <row r="262" spans="1:14" ht="14.4" x14ac:dyDescent="0.3">
      <c r="A262" s="3" t="s">
        <v>984</v>
      </c>
      <c r="B262" s="3" t="s">
        <v>25</v>
      </c>
      <c r="C262" s="3" t="s">
        <v>26</v>
      </c>
      <c r="D262" s="3" t="s">
        <v>27</v>
      </c>
      <c r="E262" s="3" t="s">
        <v>28</v>
      </c>
      <c r="F262" s="3" t="s">
        <v>985</v>
      </c>
      <c r="G262" s="3" t="s">
        <v>3464</v>
      </c>
      <c r="H262" s="7">
        <v>44893</v>
      </c>
      <c r="I262" s="6">
        <v>460000</v>
      </c>
      <c r="J262" s="6">
        <v>82800</v>
      </c>
      <c r="K262" s="4">
        <v>29420090</v>
      </c>
      <c r="L262" s="3" t="s">
        <v>552</v>
      </c>
      <c r="M262" s="3" t="s">
        <v>280</v>
      </c>
      <c r="N262" s="5">
        <f t="shared" si="4"/>
        <v>18</v>
      </c>
    </row>
    <row r="263" spans="1:14" ht="14.4" x14ac:dyDescent="0.3">
      <c r="A263" s="3" t="s">
        <v>986</v>
      </c>
      <c r="B263" s="3" t="s">
        <v>89</v>
      </c>
      <c r="C263" s="3" t="s">
        <v>20</v>
      </c>
      <c r="D263" s="3" t="s">
        <v>50</v>
      </c>
      <c r="E263" s="3" t="s">
        <v>22</v>
      </c>
      <c r="F263" s="3" t="s">
        <v>987</v>
      </c>
      <c r="G263" s="3">
        <v>918</v>
      </c>
      <c r="H263" s="7">
        <v>44893</v>
      </c>
      <c r="I263" s="6">
        <v>79081.649999999994</v>
      </c>
      <c r="J263" s="6">
        <v>14234.7</v>
      </c>
      <c r="K263" s="4">
        <v>76071994</v>
      </c>
      <c r="L263" s="3" t="s">
        <v>988</v>
      </c>
      <c r="M263" s="3" t="s">
        <v>280</v>
      </c>
      <c r="N263" s="5">
        <f t="shared" si="4"/>
        <v>18.000003793547556</v>
      </c>
    </row>
    <row r="264" spans="1:14" ht="14.4" x14ac:dyDescent="0.3">
      <c r="A264" s="3" t="s">
        <v>989</v>
      </c>
      <c r="B264" s="3" t="s">
        <v>49</v>
      </c>
      <c r="C264" s="3" t="s">
        <v>20</v>
      </c>
      <c r="D264" s="3" t="s">
        <v>50</v>
      </c>
      <c r="E264" s="3" t="s">
        <v>22</v>
      </c>
      <c r="F264" s="3" t="s">
        <v>990</v>
      </c>
      <c r="G264" s="3" t="s">
        <v>3465</v>
      </c>
      <c r="H264" s="7">
        <v>44888</v>
      </c>
      <c r="I264" s="6">
        <v>61669.25</v>
      </c>
      <c r="J264" s="6">
        <v>11100.46</v>
      </c>
      <c r="K264" s="4">
        <v>48192020</v>
      </c>
      <c r="L264" s="3" t="s">
        <v>991</v>
      </c>
      <c r="M264" s="3" t="s">
        <v>195</v>
      </c>
      <c r="N264" s="5">
        <f t="shared" si="4"/>
        <v>17.999991892231542</v>
      </c>
    </row>
    <row r="265" spans="1:14" ht="14.4" x14ac:dyDescent="0.3">
      <c r="A265" s="3" t="s">
        <v>992</v>
      </c>
      <c r="B265" s="3" t="s">
        <v>993</v>
      </c>
      <c r="C265" s="3" t="s">
        <v>310</v>
      </c>
      <c r="D265" s="3" t="s">
        <v>57</v>
      </c>
      <c r="E265" s="3" t="s">
        <v>80</v>
      </c>
      <c r="F265" s="3" t="s">
        <v>994</v>
      </c>
      <c r="G265" s="3" t="s">
        <v>3466</v>
      </c>
      <c r="H265" s="7">
        <v>44884</v>
      </c>
      <c r="I265" s="6">
        <v>38019</v>
      </c>
      <c r="J265" s="6">
        <v>6843.42</v>
      </c>
      <c r="K265" s="4">
        <v>29362940</v>
      </c>
      <c r="L265" s="3" t="s">
        <v>995</v>
      </c>
      <c r="M265" s="3" t="s">
        <v>98</v>
      </c>
      <c r="N265" s="5">
        <f t="shared" si="4"/>
        <v>18</v>
      </c>
    </row>
    <row r="266" spans="1:14" ht="14.4" x14ac:dyDescent="0.3">
      <c r="A266" s="3" t="s">
        <v>996</v>
      </c>
      <c r="B266" s="3" t="s">
        <v>997</v>
      </c>
      <c r="C266" s="3" t="s">
        <v>20</v>
      </c>
      <c r="D266" s="3" t="s">
        <v>167</v>
      </c>
      <c r="E266" s="3" t="s">
        <v>22</v>
      </c>
      <c r="F266" s="3" t="s">
        <v>998</v>
      </c>
      <c r="G266" s="3" t="s">
        <v>3467</v>
      </c>
      <c r="H266" s="7">
        <v>44884</v>
      </c>
      <c r="I266" s="6">
        <v>60000</v>
      </c>
      <c r="J266" s="6">
        <v>10800</v>
      </c>
      <c r="K266" s="4">
        <v>96020030</v>
      </c>
      <c r="L266" s="3" t="s">
        <v>999</v>
      </c>
      <c r="M266" s="3" t="s">
        <v>98</v>
      </c>
      <c r="N266" s="5">
        <f t="shared" si="4"/>
        <v>18</v>
      </c>
    </row>
    <row r="267" spans="1:14" ht="14.4" x14ac:dyDescent="0.3">
      <c r="A267" s="3" t="s">
        <v>1000</v>
      </c>
      <c r="B267" s="3" t="s">
        <v>202</v>
      </c>
      <c r="C267" s="3" t="s">
        <v>134</v>
      </c>
      <c r="D267" s="3" t="s">
        <v>203</v>
      </c>
      <c r="E267" s="3" t="s">
        <v>204</v>
      </c>
      <c r="F267" s="3" t="s">
        <v>1001</v>
      </c>
      <c r="G267" s="3" t="s">
        <v>3468</v>
      </c>
      <c r="H267" s="7">
        <v>44873</v>
      </c>
      <c r="I267" s="6">
        <v>1034923.5</v>
      </c>
      <c r="J267" s="6">
        <v>186286.23</v>
      </c>
      <c r="K267" s="4">
        <v>76071994</v>
      </c>
      <c r="L267" s="3" t="s">
        <v>206</v>
      </c>
      <c r="M267" s="3"/>
      <c r="N267" s="5">
        <f t="shared" si="4"/>
        <v>18</v>
      </c>
    </row>
    <row r="268" spans="1:14" ht="14.4" x14ac:dyDescent="0.3">
      <c r="A268" s="3" t="s">
        <v>1002</v>
      </c>
      <c r="B268" s="3" t="s">
        <v>55</v>
      </c>
      <c r="C268" s="3" t="s">
        <v>56</v>
      </c>
      <c r="D268" s="3" t="s">
        <v>57</v>
      </c>
      <c r="E268" s="3" t="s">
        <v>22</v>
      </c>
      <c r="F268" s="3" t="s">
        <v>1003</v>
      </c>
      <c r="G268" s="3" t="s">
        <v>3469</v>
      </c>
      <c r="H268" s="7">
        <v>44872</v>
      </c>
      <c r="I268" s="6">
        <v>43000</v>
      </c>
      <c r="J268" s="6">
        <v>7740</v>
      </c>
      <c r="K268" s="4">
        <v>29420090</v>
      </c>
      <c r="L268" s="3"/>
      <c r="M268" s="3" t="s">
        <v>36</v>
      </c>
      <c r="N268" s="5">
        <f t="shared" si="4"/>
        <v>18</v>
      </c>
    </row>
    <row r="269" spans="1:14" ht="14.4" x14ac:dyDescent="0.3">
      <c r="A269" s="3" t="s">
        <v>1004</v>
      </c>
      <c r="B269" s="3" t="s">
        <v>182</v>
      </c>
      <c r="C269" s="3" t="s">
        <v>20</v>
      </c>
      <c r="D269" s="3" t="s">
        <v>167</v>
      </c>
      <c r="E269" s="3" t="s">
        <v>22</v>
      </c>
      <c r="F269" s="3" t="s">
        <v>1005</v>
      </c>
      <c r="G269" s="3" t="s">
        <v>3470</v>
      </c>
      <c r="H269" s="7">
        <v>44867</v>
      </c>
      <c r="I269" s="6">
        <v>147750</v>
      </c>
      <c r="J269" s="6">
        <v>26595</v>
      </c>
      <c r="K269" s="4">
        <v>39059990</v>
      </c>
      <c r="L269" s="3" t="s">
        <v>428</v>
      </c>
      <c r="M269" s="3" t="s">
        <v>36</v>
      </c>
      <c r="N269" s="5">
        <f t="shared" si="4"/>
        <v>18</v>
      </c>
    </row>
    <row r="270" spans="1:14" ht="14.4" x14ac:dyDescent="0.3">
      <c r="A270" s="3" t="s">
        <v>1006</v>
      </c>
      <c r="B270" s="3" t="s">
        <v>84</v>
      </c>
      <c r="C270" s="3" t="s">
        <v>20</v>
      </c>
      <c r="D270" s="3" t="s">
        <v>239</v>
      </c>
      <c r="E270" s="3" t="s">
        <v>22</v>
      </c>
      <c r="F270" s="3" t="s">
        <v>1007</v>
      </c>
      <c r="G270" s="3" t="s">
        <v>3471</v>
      </c>
      <c r="H270" s="7">
        <v>44867</v>
      </c>
      <c r="I270" s="6">
        <v>66122.7</v>
      </c>
      <c r="J270" s="6">
        <v>11902.09</v>
      </c>
      <c r="K270" s="4">
        <v>3921</v>
      </c>
      <c r="L270" s="3" t="s">
        <v>118</v>
      </c>
      <c r="M270" s="3" t="s">
        <v>1008</v>
      </c>
      <c r="N270" s="5">
        <f t="shared" si="4"/>
        <v>18.000006049359751</v>
      </c>
    </row>
    <row r="271" spans="1:14" ht="14.4" x14ac:dyDescent="0.3">
      <c r="A271" s="3" t="s">
        <v>1009</v>
      </c>
      <c r="B271" s="3" t="s">
        <v>1010</v>
      </c>
      <c r="C271" s="3" t="s">
        <v>20</v>
      </c>
      <c r="D271" s="3" t="s">
        <v>1011</v>
      </c>
      <c r="E271" s="3" t="s">
        <v>22</v>
      </c>
      <c r="F271" s="3" t="s">
        <v>1012</v>
      </c>
      <c r="G271" s="3" t="s">
        <v>3472</v>
      </c>
      <c r="H271" s="7">
        <v>44867</v>
      </c>
      <c r="I271" s="6">
        <v>60090.2</v>
      </c>
      <c r="J271" s="6">
        <v>10816.24</v>
      </c>
      <c r="K271" s="4">
        <v>760719</v>
      </c>
      <c r="L271" s="3"/>
      <c r="M271" s="3" t="s">
        <v>280</v>
      </c>
      <c r="N271" s="5">
        <f t="shared" si="4"/>
        <v>18.00000665665949</v>
      </c>
    </row>
    <row r="272" spans="1:14" ht="14.4" x14ac:dyDescent="0.3">
      <c r="A272" s="3" t="s">
        <v>1013</v>
      </c>
      <c r="B272" s="3" t="s">
        <v>161</v>
      </c>
      <c r="C272" s="3" t="s">
        <v>56</v>
      </c>
      <c r="D272" s="3" t="s">
        <v>57</v>
      </c>
      <c r="E272" s="3" t="s">
        <v>162</v>
      </c>
      <c r="F272" s="3" t="s">
        <v>1014</v>
      </c>
      <c r="G272" s="3" t="s">
        <v>3473</v>
      </c>
      <c r="H272" s="7">
        <v>44875</v>
      </c>
      <c r="I272" s="6">
        <v>156078</v>
      </c>
      <c r="J272" s="6">
        <v>28094.04</v>
      </c>
      <c r="K272" s="4">
        <v>29420090</v>
      </c>
      <c r="L272" s="3" t="s">
        <v>1015</v>
      </c>
      <c r="M272" s="3" t="s">
        <v>675</v>
      </c>
      <c r="N272" s="5">
        <f t="shared" si="4"/>
        <v>18</v>
      </c>
    </row>
    <row r="273" spans="1:14" ht="14.4" x14ac:dyDescent="0.3">
      <c r="A273" s="3" t="s">
        <v>1016</v>
      </c>
      <c r="B273" s="3" t="s">
        <v>155</v>
      </c>
      <c r="C273" s="3" t="s">
        <v>20</v>
      </c>
      <c r="D273" s="3" t="s">
        <v>156</v>
      </c>
      <c r="E273" s="3" t="s">
        <v>22</v>
      </c>
      <c r="F273" s="3" t="s">
        <v>1017</v>
      </c>
      <c r="G273" s="3" t="s">
        <v>3474</v>
      </c>
      <c r="H273" s="7">
        <v>44875</v>
      </c>
      <c r="I273" s="6">
        <v>56986.5</v>
      </c>
      <c r="J273" s="6">
        <v>10257.56</v>
      </c>
      <c r="K273" s="4">
        <v>48191010</v>
      </c>
      <c r="L273" s="3" t="s">
        <v>1018</v>
      </c>
      <c r="M273" s="3" t="s">
        <v>159</v>
      </c>
      <c r="N273" s="5">
        <f t="shared" si="4"/>
        <v>17.999982451984241</v>
      </c>
    </row>
    <row r="274" spans="1:14" ht="14.4" x14ac:dyDescent="0.3">
      <c r="A274" s="3" t="s">
        <v>1019</v>
      </c>
      <c r="B274" s="3" t="s">
        <v>534</v>
      </c>
      <c r="C274" s="3" t="s">
        <v>535</v>
      </c>
      <c r="D274" s="3" t="s">
        <v>536</v>
      </c>
      <c r="E274" s="3" t="s">
        <v>378</v>
      </c>
      <c r="F274" s="3" t="s">
        <v>1020</v>
      </c>
      <c r="G274" s="3" t="s">
        <v>3475</v>
      </c>
      <c r="H274" s="7">
        <v>44873</v>
      </c>
      <c r="I274" s="6">
        <v>22500</v>
      </c>
      <c r="J274" s="6">
        <v>4050</v>
      </c>
      <c r="K274" s="4">
        <v>29420090</v>
      </c>
      <c r="L274" s="3" t="s">
        <v>1021</v>
      </c>
      <c r="M274" s="3" t="s">
        <v>1022</v>
      </c>
      <c r="N274" s="5">
        <f t="shared" si="4"/>
        <v>18</v>
      </c>
    </row>
    <row r="275" spans="1:14" ht="14.4" x14ac:dyDescent="0.3">
      <c r="A275" s="3" t="s">
        <v>1023</v>
      </c>
      <c r="B275" s="3" t="s">
        <v>61</v>
      </c>
      <c r="C275" s="3" t="s">
        <v>62</v>
      </c>
      <c r="D275" s="3" t="s">
        <v>57</v>
      </c>
      <c r="E275" s="3" t="s">
        <v>22</v>
      </c>
      <c r="F275" s="3" t="s">
        <v>1024</v>
      </c>
      <c r="G275" s="3">
        <v>953</v>
      </c>
      <c r="H275" s="7">
        <v>44873</v>
      </c>
      <c r="I275" s="6">
        <v>69563</v>
      </c>
      <c r="J275" s="6">
        <v>12521.34</v>
      </c>
      <c r="K275" s="4">
        <v>39204900</v>
      </c>
      <c r="L275" s="3" t="s">
        <v>1025</v>
      </c>
      <c r="M275" s="3" t="s">
        <v>98</v>
      </c>
      <c r="N275" s="5">
        <f t="shared" si="4"/>
        <v>18</v>
      </c>
    </row>
    <row r="276" spans="1:14" ht="14.4" x14ac:dyDescent="0.3">
      <c r="A276" s="3" t="s">
        <v>1026</v>
      </c>
      <c r="B276" s="3" t="s">
        <v>182</v>
      </c>
      <c r="C276" s="3" t="s">
        <v>20</v>
      </c>
      <c r="D276" s="3" t="s">
        <v>167</v>
      </c>
      <c r="E276" s="3" t="s">
        <v>22</v>
      </c>
      <c r="F276" s="3" t="s">
        <v>1027</v>
      </c>
      <c r="G276" s="3" t="s">
        <v>3476</v>
      </c>
      <c r="H276" s="7">
        <v>44869</v>
      </c>
      <c r="I276" s="6">
        <v>82000</v>
      </c>
      <c r="J276" s="6">
        <v>14760</v>
      </c>
      <c r="K276" s="4">
        <v>39129090</v>
      </c>
      <c r="L276" s="3" t="s">
        <v>1028</v>
      </c>
      <c r="M276" s="3" t="s">
        <v>467</v>
      </c>
      <c r="N276" s="5">
        <f t="shared" si="4"/>
        <v>18</v>
      </c>
    </row>
    <row r="277" spans="1:14" ht="14.4" x14ac:dyDescent="0.3">
      <c r="A277" s="3" t="s">
        <v>1029</v>
      </c>
      <c r="B277" s="3" t="s">
        <v>178</v>
      </c>
      <c r="C277" s="3" t="s">
        <v>20</v>
      </c>
      <c r="D277" s="3" t="s">
        <v>50</v>
      </c>
      <c r="E277" s="3" t="s">
        <v>22</v>
      </c>
      <c r="F277" s="3" t="s">
        <v>1030</v>
      </c>
      <c r="G277" s="3" t="s">
        <v>3477</v>
      </c>
      <c r="H277" s="7">
        <v>44868</v>
      </c>
      <c r="I277" s="6">
        <v>45566.15</v>
      </c>
      <c r="J277" s="6">
        <v>8201.9</v>
      </c>
      <c r="K277" s="4">
        <v>76071995</v>
      </c>
      <c r="L277" s="3" t="s">
        <v>180</v>
      </c>
      <c r="M277" s="3" t="s">
        <v>104</v>
      </c>
      <c r="N277" s="5">
        <f t="shared" si="4"/>
        <v>17.99998463771901</v>
      </c>
    </row>
    <row r="278" spans="1:14" ht="14.4" x14ac:dyDescent="0.3">
      <c r="A278" s="3" t="s">
        <v>1031</v>
      </c>
      <c r="B278" s="3" t="s">
        <v>161</v>
      </c>
      <c r="C278" s="3" t="s">
        <v>56</v>
      </c>
      <c r="D278" s="3" t="s">
        <v>57</v>
      </c>
      <c r="E278" s="3" t="s">
        <v>162</v>
      </c>
      <c r="F278" s="3" t="s">
        <v>1032</v>
      </c>
      <c r="G278" s="3" t="s">
        <v>3478</v>
      </c>
      <c r="H278" s="7">
        <v>44894</v>
      </c>
      <c r="I278" s="6">
        <v>1190595</v>
      </c>
      <c r="J278" s="6">
        <v>214307.1</v>
      </c>
      <c r="K278" s="4">
        <v>29419090</v>
      </c>
      <c r="L278" s="3" t="s">
        <v>600</v>
      </c>
      <c r="M278" s="3" t="s">
        <v>36</v>
      </c>
      <c r="N278" s="5">
        <f t="shared" si="4"/>
        <v>18</v>
      </c>
    </row>
    <row r="279" spans="1:14" ht="14.4" x14ac:dyDescent="0.3">
      <c r="A279" s="3" t="s">
        <v>1033</v>
      </c>
      <c r="B279" s="3" t="s">
        <v>94</v>
      </c>
      <c r="C279" s="3" t="s">
        <v>26</v>
      </c>
      <c r="D279" s="3" t="s">
        <v>95</v>
      </c>
      <c r="E279" s="3" t="s">
        <v>22</v>
      </c>
      <c r="F279" s="3" t="s">
        <v>1034</v>
      </c>
      <c r="G279" s="3" t="s">
        <v>3479</v>
      </c>
      <c r="H279" s="7">
        <v>44894</v>
      </c>
      <c r="I279" s="6">
        <v>128123.9</v>
      </c>
      <c r="J279" s="6">
        <v>23062.32</v>
      </c>
      <c r="K279" s="4">
        <v>48192090</v>
      </c>
      <c r="L279" s="3" t="s">
        <v>97</v>
      </c>
      <c r="M279" s="3" t="s">
        <v>36</v>
      </c>
      <c r="N279" s="5">
        <f t="shared" si="4"/>
        <v>18.000014048901104</v>
      </c>
    </row>
    <row r="280" spans="1:14" ht="14.4" x14ac:dyDescent="0.3">
      <c r="A280" s="3" t="s">
        <v>1035</v>
      </c>
      <c r="B280" s="3" t="s">
        <v>145</v>
      </c>
      <c r="C280" s="3" t="s">
        <v>20</v>
      </c>
      <c r="D280" s="3" t="s">
        <v>489</v>
      </c>
      <c r="E280" s="3" t="s">
        <v>22</v>
      </c>
      <c r="F280" s="3" t="s">
        <v>1036</v>
      </c>
      <c r="G280" s="3" t="s">
        <v>3480</v>
      </c>
      <c r="H280" s="7">
        <v>44894</v>
      </c>
      <c r="I280" s="6">
        <v>199750</v>
      </c>
      <c r="J280" s="6">
        <v>23970</v>
      </c>
      <c r="K280" s="4">
        <v>11081200</v>
      </c>
      <c r="L280" s="3"/>
      <c r="M280" s="3" t="s">
        <v>1037</v>
      </c>
      <c r="N280" s="5">
        <f t="shared" si="4"/>
        <v>12</v>
      </c>
    </row>
    <row r="281" spans="1:14" ht="14.4" x14ac:dyDescent="0.3">
      <c r="A281" s="3" t="s">
        <v>1038</v>
      </c>
      <c r="B281" s="3" t="s">
        <v>1039</v>
      </c>
      <c r="C281" s="3" t="s">
        <v>20</v>
      </c>
      <c r="D281" s="3" t="s">
        <v>755</v>
      </c>
      <c r="E281" s="3" t="s">
        <v>22</v>
      </c>
      <c r="F281" s="3" t="s">
        <v>1040</v>
      </c>
      <c r="G281" s="3">
        <v>671</v>
      </c>
      <c r="H281" s="7">
        <v>44893</v>
      </c>
      <c r="I281" s="6">
        <v>85783.91</v>
      </c>
      <c r="J281" s="6">
        <v>15441.1</v>
      </c>
      <c r="K281" s="4">
        <v>3917</v>
      </c>
      <c r="L281" s="3" t="s">
        <v>1041</v>
      </c>
      <c r="M281" s="3" t="s">
        <v>1042</v>
      </c>
      <c r="N281" s="5">
        <f t="shared" si="4"/>
        <v>17.999995570264865</v>
      </c>
    </row>
    <row r="282" spans="1:14" ht="14.4" x14ac:dyDescent="0.3">
      <c r="A282" s="3" t="s">
        <v>1043</v>
      </c>
      <c r="B282" s="3" t="s">
        <v>133</v>
      </c>
      <c r="C282" s="3" t="s">
        <v>134</v>
      </c>
      <c r="D282" s="3" t="s">
        <v>1044</v>
      </c>
      <c r="E282" s="3" t="s">
        <v>136</v>
      </c>
      <c r="F282" s="3" t="s">
        <v>1045</v>
      </c>
      <c r="G282" s="3" t="s">
        <v>3481</v>
      </c>
      <c r="H282" s="7">
        <v>44893</v>
      </c>
      <c r="I282" s="6">
        <v>178000</v>
      </c>
      <c r="J282" s="6">
        <v>8900</v>
      </c>
      <c r="K282" s="4">
        <v>17011490</v>
      </c>
      <c r="L282" s="3" t="s">
        <v>138</v>
      </c>
      <c r="M282" s="3" t="s">
        <v>1046</v>
      </c>
      <c r="N282" s="5">
        <f t="shared" si="4"/>
        <v>5</v>
      </c>
    </row>
    <row r="283" spans="1:14" ht="14.4" x14ac:dyDescent="0.3">
      <c r="A283" s="3" t="s">
        <v>1047</v>
      </c>
      <c r="B283" s="3" t="s">
        <v>78</v>
      </c>
      <c r="C283" s="3" t="s">
        <v>26</v>
      </c>
      <c r="D283" s="3" t="s">
        <v>79</v>
      </c>
      <c r="E283" s="3" t="s">
        <v>80</v>
      </c>
      <c r="F283" s="3" t="s">
        <v>1048</v>
      </c>
      <c r="G283" s="3">
        <v>11492</v>
      </c>
      <c r="H283" s="7">
        <v>44890</v>
      </c>
      <c r="I283" s="6">
        <v>47236.05</v>
      </c>
      <c r="J283" s="6">
        <v>8502.48</v>
      </c>
      <c r="K283" s="4">
        <v>39239090</v>
      </c>
      <c r="L283" s="3" t="s">
        <v>1049</v>
      </c>
      <c r="M283" s="3" t="s">
        <v>36</v>
      </c>
      <c r="N283" s="5">
        <f t="shared" si="4"/>
        <v>17.999980946755709</v>
      </c>
    </row>
    <row r="284" spans="1:14" ht="14.4" x14ac:dyDescent="0.3">
      <c r="A284" s="3" t="s">
        <v>1050</v>
      </c>
      <c r="B284" s="3" t="s">
        <v>89</v>
      </c>
      <c r="C284" s="3" t="s">
        <v>20</v>
      </c>
      <c r="D284" s="3" t="s">
        <v>50</v>
      </c>
      <c r="E284" s="3" t="s">
        <v>22</v>
      </c>
      <c r="F284" s="3" t="s">
        <v>1051</v>
      </c>
      <c r="G284" s="3">
        <v>909</v>
      </c>
      <c r="H284" s="7">
        <v>44891</v>
      </c>
      <c r="I284" s="6">
        <v>65431.8</v>
      </c>
      <c r="J284" s="6">
        <v>11777.72</v>
      </c>
      <c r="K284" s="4">
        <v>76071994</v>
      </c>
      <c r="L284" s="3" t="s">
        <v>744</v>
      </c>
      <c r="M284" s="3" t="s">
        <v>36</v>
      </c>
      <c r="N284" s="5">
        <f t="shared" si="4"/>
        <v>17.999993886764539</v>
      </c>
    </row>
    <row r="285" spans="1:14" ht="14.4" x14ac:dyDescent="0.3">
      <c r="A285" s="3" t="s">
        <v>1052</v>
      </c>
      <c r="B285" s="3" t="s">
        <v>178</v>
      </c>
      <c r="C285" s="3" t="s">
        <v>20</v>
      </c>
      <c r="D285" s="3" t="s">
        <v>50</v>
      </c>
      <c r="E285" s="3" t="s">
        <v>22</v>
      </c>
      <c r="F285" s="3" t="s">
        <v>1053</v>
      </c>
      <c r="G285" s="3" t="s">
        <v>3482</v>
      </c>
      <c r="H285" s="7">
        <v>44890</v>
      </c>
      <c r="I285" s="6">
        <v>45873.03</v>
      </c>
      <c r="J285" s="6">
        <v>8257.14</v>
      </c>
      <c r="K285" s="4">
        <v>76071995</v>
      </c>
      <c r="L285" s="3" t="s">
        <v>180</v>
      </c>
      <c r="M285" s="3" t="s">
        <v>98</v>
      </c>
      <c r="N285" s="5">
        <f t="shared" si="4"/>
        <v>17.99998822837733</v>
      </c>
    </row>
    <row r="286" spans="1:14" ht="14.4" x14ac:dyDescent="0.3">
      <c r="A286" s="3" t="s">
        <v>1054</v>
      </c>
      <c r="B286" s="3" t="s">
        <v>166</v>
      </c>
      <c r="C286" s="3" t="s">
        <v>20</v>
      </c>
      <c r="D286" s="3" t="s">
        <v>1055</v>
      </c>
      <c r="E286" s="3" t="s">
        <v>22</v>
      </c>
      <c r="F286" s="3" t="s">
        <v>1056</v>
      </c>
      <c r="G286" s="3">
        <v>539</v>
      </c>
      <c r="H286" s="7">
        <v>44890</v>
      </c>
      <c r="I286" s="6">
        <v>66054.600000000006</v>
      </c>
      <c r="J286" s="6">
        <v>11889.82</v>
      </c>
      <c r="K286" s="4">
        <v>76071995</v>
      </c>
      <c r="L286" s="3" t="s">
        <v>169</v>
      </c>
      <c r="M286" s="3" t="s">
        <v>98</v>
      </c>
      <c r="N286" s="5">
        <f t="shared" si="4"/>
        <v>17.999987888807137</v>
      </c>
    </row>
    <row r="287" spans="1:14" ht="14.4" x14ac:dyDescent="0.3">
      <c r="A287" s="3" t="s">
        <v>1057</v>
      </c>
      <c r="B287" s="3" t="s">
        <v>155</v>
      </c>
      <c r="C287" s="3" t="s">
        <v>20</v>
      </c>
      <c r="D287" s="3" t="s">
        <v>156</v>
      </c>
      <c r="E287" s="3" t="s">
        <v>22</v>
      </c>
      <c r="F287" s="3" t="s">
        <v>1058</v>
      </c>
      <c r="G287" s="3" t="s">
        <v>3483</v>
      </c>
      <c r="H287" s="7">
        <v>44890</v>
      </c>
      <c r="I287" s="6">
        <v>43531</v>
      </c>
      <c r="J287" s="6">
        <v>7835.58</v>
      </c>
      <c r="K287" s="4">
        <v>48191010</v>
      </c>
      <c r="L287" s="3" t="s">
        <v>1059</v>
      </c>
      <c r="M287" s="3" t="s">
        <v>159</v>
      </c>
      <c r="N287" s="5">
        <f t="shared" si="4"/>
        <v>18</v>
      </c>
    </row>
    <row r="288" spans="1:14" ht="14.4" x14ac:dyDescent="0.3">
      <c r="A288" s="3" t="s">
        <v>1060</v>
      </c>
      <c r="B288" s="3" t="s">
        <v>222</v>
      </c>
      <c r="C288" s="3" t="s">
        <v>223</v>
      </c>
      <c r="D288" s="3" t="s">
        <v>224</v>
      </c>
      <c r="E288" s="3" t="s">
        <v>396</v>
      </c>
      <c r="F288" s="3" t="s">
        <v>1061</v>
      </c>
      <c r="G288" s="3" t="s">
        <v>3484</v>
      </c>
      <c r="H288" s="7">
        <v>44889</v>
      </c>
      <c r="I288" s="6">
        <v>84438</v>
      </c>
      <c r="J288" s="6">
        <v>15198.84</v>
      </c>
      <c r="K288" s="4">
        <v>76071994</v>
      </c>
      <c r="L288" s="3" t="s">
        <v>778</v>
      </c>
      <c r="M288" s="3" t="s">
        <v>280</v>
      </c>
      <c r="N288" s="5">
        <f t="shared" si="4"/>
        <v>18</v>
      </c>
    </row>
    <row r="289" spans="1:14" ht="14.4" x14ac:dyDescent="0.3">
      <c r="A289" s="3" t="s">
        <v>1062</v>
      </c>
      <c r="B289" s="3" t="s">
        <v>38</v>
      </c>
      <c r="C289" s="3" t="s">
        <v>20</v>
      </c>
      <c r="D289" s="3" t="s">
        <v>57</v>
      </c>
      <c r="E289" s="3" t="s">
        <v>22</v>
      </c>
      <c r="F289" s="3" t="s">
        <v>1063</v>
      </c>
      <c r="G289" s="3" t="s">
        <v>3485</v>
      </c>
      <c r="H289" s="7">
        <v>44889</v>
      </c>
      <c r="I289" s="6">
        <v>25875</v>
      </c>
      <c r="J289" s="6">
        <v>3105</v>
      </c>
      <c r="K289" s="4">
        <v>30049099</v>
      </c>
      <c r="L289" s="3" t="s">
        <v>1064</v>
      </c>
      <c r="M289" s="3" t="s">
        <v>280</v>
      </c>
      <c r="N289" s="5">
        <f t="shared" si="4"/>
        <v>12</v>
      </c>
    </row>
    <row r="290" spans="1:14" ht="14.4" x14ac:dyDescent="0.3">
      <c r="A290" s="3" t="s">
        <v>1065</v>
      </c>
      <c r="B290" s="3" t="s">
        <v>997</v>
      </c>
      <c r="C290" s="3" t="s">
        <v>20</v>
      </c>
      <c r="D290" s="3" t="s">
        <v>167</v>
      </c>
      <c r="E290" s="3" t="s">
        <v>22</v>
      </c>
      <c r="F290" s="3" t="s">
        <v>1066</v>
      </c>
      <c r="G290" s="3" t="s">
        <v>3486</v>
      </c>
      <c r="H290" s="7">
        <v>44889</v>
      </c>
      <c r="I290" s="6">
        <v>60000</v>
      </c>
      <c r="J290" s="6">
        <v>10800</v>
      </c>
      <c r="K290" s="4">
        <v>96020030</v>
      </c>
      <c r="L290" s="3" t="s">
        <v>999</v>
      </c>
      <c r="M290" s="3" t="s">
        <v>280</v>
      </c>
      <c r="N290" s="5">
        <f t="shared" si="4"/>
        <v>18</v>
      </c>
    </row>
    <row r="291" spans="1:14" ht="14.4" x14ac:dyDescent="0.3">
      <c r="A291" s="3" t="s">
        <v>1067</v>
      </c>
      <c r="B291" s="3" t="s">
        <v>161</v>
      </c>
      <c r="C291" s="3" t="s">
        <v>56</v>
      </c>
      <c r="D291" s="3" t="s">
        <v>57</v>
      </c>
      <c r="E291" s="3" t="s">
        <v>162</v>
      </c>
      <c r="F291" s="3" t="s">
        <v>1068</v>
      </c>
      <c r="G291" s="3" t="s">
        <v>3487</v>
      </c>
      <c r="H291" s="7">
        <v>44888</v>
      </c>
      <c r="I291" s="6">
        <v>550275</v>
      </c>
      <c r="J291" s="6">
        <v>99049.5</v>
      </c>
      <c r="K291" s="4">
        <v>29222933</v>
      </c>
      <c r="L291" s="3" t="s">
        <v>164</v>
      </c>
      <c r="M291" s="3" t="s">
        <v>195</v>
      </c>
      <c r="N291" s="5">
        <f t="shared" si="4"/>
        <v>18</v>
      </c>
    </row>
    <row r="292" spans="1:14" ht="14.4" x14ac:dyDescent="0.3">
      <c r="A292" s="3" t="s">
        <v>1069</v>
      </c>
      <c r="B292" s="3" t="s">
        <v>94</v>
      </c>
      <c r="C292" s="3" t="s">
        <v>26</v>
      </c>
      <c r="D292" s="3" t="s">
        <v>95</v>
      </c>
      <c r="E292" s="3" t="s">
        <v>22</v>
      </c>
      <c r="F292" s="3" t="s">
        <v>1070</v>
      </c>
      <c r="G292" s="3" t="s">
        <v>3488</v>
      </c>
      <c r="H292" s="7">
        <v>44888</v>
      </c>
      <c r="I292" s="6">
        <v>93380.7</v>
      </c>
      <c r="J292" s="6">
        <v>16808.52</v>
      </c>
      <c r="K292" s="4">
        <v>48192090</v>
      </c>
      <c r="L292" s="3" t="s">
        <v>97</v>
      </c>
      <c r="M292" s="3" t="s">
        <v>195</v>
      </c>
      <c r="N292" s="5">
        <f t="shared" si="4"/>
        <v>17.999993574689416</v>
      </c>
    </row>
    <row r="293" spans="1:14" ht="14.4" x14ac:dyDescent="0.3">
      <c r="A293" s="3" t="s">
        <v>1071</v>
      </c>
      <c r="B293" s="3" t="s">
        <v>161</v>
      </c>
      <c r="C293" s="3" t="s">
        <v>56</v>
      </c>
      <c r="D293" s="3" t="s">
        <v>57</v>
      </c>
      <c r="E293" s="3" t="s">
        <v>162</v>
      </c>
      <c r="F293" s="3" t="s">
        <v>1072</v>
      </c>
      <c r="G293" s="3" t="s">
        <v>3489</v>
      </c>
      <c r="H293" s="7">
        <v>44887</v>
      </c>
      <c r="I293" s="6">
        <v>550275</v>
      </c>
      <c r="J293" s="6">
        <v>99049.5</v>
      </c>
      <c r="K293" s="4">
        <v>29222933</v>
      </c>
      <c r="L293" s="3" t="s">
        <v>1073</v>
      </c>
      <c r="M293" s="3" t="s">
        <v>961</v>
      </c>
      <c r="N293" s="5">
        <f t="shared" si="4"/>
        <v>18</v>
      </c>
    </row>
    <row r="294" spans="1:14" ht="14.4" x14ac:dyDescent="0.3">
      <c r="A294" s="3" t="s">
        <v>1074</v>
      </c>
      <c r="B294" s="3" t="s">
        <v>161</v>
      </c>
      <c r="C294" s="3" t="s">
        <v>56</v>
      </c>
      <c r="D294" s="3" t="s">
        <v>57</v>
      </c>
      <c r="E294" s="3" t="s">
        <v>162</v>
      </c>
      <c r="F294" s="3" t="s">
        <v>1075</v>
      </c>
      <c r="G294" s="3" t="s">
        <v>3490</v>
      </c>
      <c r="H294" s="7">
        <v>44886</v>
      </c>
      <c r="I294" s="6">
        <v>555277.5</v>
      </c>
      <c r="J294" s="6">
        <v>99949.96</v>
      </c>
      <c r="K294" s="4">
        <v>29222933</v>
      </c>
      <c r="L294" s="3" t="s">
        <v>164</v>
      </c>
      <c r="M294" s="3" t="s">
        <v>467</v>
      </c>
      <c r="N294" s="5">
        <f t="shared" si="4"/>
        <v>18.000001800901352</v>
      </c>
    </row>
    <row r="295" spans="1:14" ht="14.4" x14ac:dyDescent="0.3">
      <c r="A295" s="3" t="s">
        <v>1076</v>
      </c>
      <c r="B295" s="3" t="s">
        <v>94</v>
      </c>
      <c r="C295" s="3" t="s">
        <v>26</v>
      </c>
      <c r="D295" s="3" t="s">
        <v>95</v>
      </c>
      <c r="E295" s="3" t="s">
        <v>22</v>
      </c>
      <c r="F295" s="3" t="s">
        <v>1077</v>
      </c>
      <c r="G295" s="3" t="s">
        <v>3491</v>
      </c>
      <c r="H295" s="7">
        <v>44886</v>
      </c>
      <c r="I295" s="6">
        <v>27348.6</v>
      </c>
      <c r="J295" s="6">
        <v>4922.74</v>
      </c>
      <c r="K295" s="4">
        <v>48192090</v>
      </c>
      <c r="L295" s="3" t="s">
        <v>97</v>
      </c>
      <c r="M295" s="3" t="s">
        <v>467</v>
      </c>
      <c r="N295" s="5">
        <f t="shared" si="4"/>
        <v>17.999970748045605</v>
      </c>
    </row>
    <row r="296" spans="1:14" ht="14.4" x14ac:dyDescent="0.3">
      <c r="A296" s="3" t="s">
        <v>1078</v>
      </c>
      <c r="B296" s="3" t="s">
        <v>182</v>
      </c>
      <c r="C296" s="3" t="s">
        <v>20</v>
      </c>
      <c r="D296" s="3" t="s">
        <v>167</v>
      </c>
      <c r="E296" s="3" t="s">
        <v>22</v>
      </c>
      <c r="F296" s="3" t="s">
        <v>1079</v>
      </c>
      <c r="G296" s="3" t="s">
        <v>3492</v>
      </c>
      <c r="H296" s="7">
        <v>44886</v>
      </c>
      <c r="I296" s="6">
        <v>61150</v>
      </c>
      <c r="J296" s="6">
        <v>11007</v>
      </c>
      <c r="K296" s="4">
        <v>29054400</v>
      </c>
      <c r="L296" s="3" t="s">
        <v>1080</v>
      </c>
      <c r="M296" s="3" t="s">
        <v>467</v>
      </c>
      <c r="N296" s="5">
        <f t="shared" si="4"/>
        <v>18</v>
      </c>
    </row>
    <row r="297" spans="1:14" ht="14.4" x14ac:dyDescent="0.3">
      <c r="A297" s="3" t="s">
        <v>1081</v>
      </c>
      <c r="B297" s="3" t="s">
        <v>186</v>
      </c>
      <c r="C297" s="3" t="s">
        <v>187</v>
      </c>
      <c r="D297" s="3" t="s">
        <v>39</v>
      </c>
      <c r="E297" s="3" t="s">
        <v>188</v>
      </c>
      <c r="F297" s="3" t="s">
        <v>1082</v>
      </c>
      <c r="G297" s="3" t="s">
        <v>3493</v>
      </c>
      <c r="H297" s="7">
        <v>44886</v>
      </c>
      <c r="I297" s="6">
        <v>125866.56</v>
      </c>
      <c r="J297" s="6">
        <v>22655.98</v>
      </c>
      <c r="K297" s="4">
        <v>39233090</v>
      </c>
      <c r="L297" s="3" t="s">
        <v>1083</v>
      </c>
      <c r="M297" s="3" t="s">
        <v>467</v>
      </c>
      <c r="N297" s="5">
        <f t="shared" si="4"/>
        <v>17.999999364406243</v>
      </c>
    </row>
    <row r="298" spans="1:14" ht="14.4" x14ac:dyDescent="0.3">
      <c r="A298" s="3" t="s">
        <v>1084</v>
      </c>
      <c r="B298" s="3" t="s">
        <v>178</v>
      </c>
      <c r="C298" s="3" t="s">
        <v>20</v>
      </c>
      <c r="D298" s="3" t="s">
        <v>50</v>
      </c>
      <c r="E298" s="3" t="s">
        <v>22</v>
      </c>
      <c r="F298" s="3" t="s">
        <v>1085</v>
      </c>
      <c r="G298" s="3" t="s">
        <v>3494</v>
      </c>
      <c r="H298" s="7">
        <v>44884</v>
      </c>
      <c r="I298" s="6">
        <v>56942.400000000001</v>
      </c>
      <c r="J298" s="6">
        <v>10249.64</v>
      </c>
      <c r="K298" s="4">
        <v>76071995</v>
      </c>
      <c r="L298" s="3" t="s">
        <v>180</v>
      </c>
      <c r="M298" s="3" t="s">
        <v>98</v>
      </c>
      <c r="N298" s="5">
        <f t="shared" si="4"/>
        <v>18.000014049284889</v>
      </c>
    </row>
    <row r="299" spans="1:14" ht="14.4" x14ac:dyDescent="0.3">
      <c r="A299" s="3" t="s">
        <v>1086</v>
      </c>
      <c r="B299" s="3" t="s">
        <v>518</v>
      </c>
      <c r="C299" s="3" t="s">
        <v>134</v>
      </c>
      <c r="D299" s="3" t="s">
        <v>519</v>
      </c>
      <c r="E299" s="3" t="s">
        <v>188</v>
      </c>
      <c r="F299" s="3" t="s">
        <v>1087</v>
      </c>
      <c r="G299" s="3" t="s">
        <v>3495</v>
      </c>
      <c r="H299" s="7">
        <v>44883</v>
      </c>
      <c r="I299" s="6">
        <v>40000</v>
      </c>
      <c r="J299" s="6">
        <v>7200</v>
      </c>
      <c r="K299" s="4">
        <v>29362700</v>
      </c>
      <c r="L299" s="3" t="s">
        <v>1088</v>
      </c>
      <c r="M299" s="3" t="s">
        <v>1089</v>
      </c>
      <c r="N299" s="5">
        <f t="shared" si="4"/>
        <v>18</v>
      </c>
    </row>
    <row r="300" spans="1:14" ht="14.4" x14ac:dyDescent="0.3">
      <c r="A300" s="3" t="s">
        <v>1090</v>
      </c>
      <c r="B300" s="3" t="s">
        <v>61</v>
      </c>
      <c r="C300" s="3" t="s">
        <v>62</v>
      </c>
      <c r="D300" s="3" t="s">
        <v>57</v>
      </c>
      <c r="E300" s="3" t="s">
        <v>22</v>
      </c>
      <c r="F300" s="3" t="s">
        <v>1091</v>
      </c>
      <c r="G300" s="3">
        <v>997</v>
      </c>
      <c r="H300" s="7">
        <v>44884</v>
      </c>
      <c r="I300" s="6">
        <v>42431.4</v>
      </c>
      <c r="J300" s="6">
        <v>7637.66</v>
      </c>
      <c r="K300" s="4">
        <v>39204900</v>
      </c>
      <c r="L300" s="3" t="s">
        <v>1092</v>
      </c>
      <c r="M300" s="3" t="s">
        <v>98</v>
      </c>
      <c r="N300" s="5">
        <f t="shared" si="4"/>
        <v>18.000018853961922</v>
      </c>
    </row>
    <row r="301" spans="1:14" ht="14.4" x14ac:dyDescent="0.3">
      <c r="A301" s="3" t="s">
        <v>1093</v>
      </c>
      <c r="B301" s="3" t="s">
        <v>94</v>
      </c>
      <c r="C301" s="3" t="s">
        <v>26</v>
      </c>
      <c r="D301" s="3" t="s">
        <v>95</v>
      </c>
      <c r="E301" s="3" t="s">
        <v>22</v>
      </c>
      <c r="F301" s="3" t="s">
        <v>1094</v>
      </c>
      <c r="G301" s="3" t="s">
        <v>3496</v>
      </c>
      <c r="H301" s="7">
        <v>44883</v>
      </c>
      <c r="I301" s="6">
        <v>256068</v>
      </c>
      <c r="J301" s="6">
        <v>46092.24</v>
      </c>
      <c r="K301" s="4">
        <v>48192090</v>
      </c>
      <c r="L301" s="3" t="s">
        <v>97</v>
      </c>
      <c r="M301" s="3" t="s">
        <v>104</v>
      </c>
      <c r="N301" s="5">
        <f t="shared" si="4"/>
        <v>18</v>
      </c>
    </row>
    <row r="302" spans="1:14" ht="14.4" x14ac:dyDescent="0.3">
      <c r="A302" s="3" t="s">
        <v>1095</v>
      </c>
      <c r="B302" s="3" t="s">
        <v>84</v>
      </c>
      <c r="C302" s="3" t="s">
        <v>20</v>
      </c>
      <c r="D302" s="3" t="s">
        <v>239</v>
      </c>
      <c r="E302" s="3" t="s">
        <v>22</v>
      </c>
      <c r="F302" s="3" t="s">
        <v>1096</v>
      </c>
      <c r="G302" s="3" t="s">
        <v>3497</v>
      </c>
      <c r="H302" s="7">
        <v>44882</v>
      </c>
      <c r="I302" s="6">
        <v>25939.200000000001</v>
      </c>
      <c r="J302" s="6">
        <v>4669.0600000000004</v>
      </c>
      <c r="K302" s="4">
        <v>3921</v>
      </c>
      <c r="L302" s="3" t="s">
        <v>118</v>
      </c>
      <c r="M302" s="3" t="s">
        <v>431</v>
      </c>
      <c r="N302" s="5">
        <f t="shared" si="4"/>
        <v>18.000015420676043</v>
      </c>
    </row>
    <row r="303" spans="1:14" ht="14.4" x14ac:dyDescent="0.3">
      <c r="A303" s="3" t="s">
        <v>1097</v>
      </c>
      <c r="B303" s="3" t="s">
        <v>61</v>
      </c>
      <c r="C303" s="3" t="s">
        <v>62</v>
      </c>
      <c r="D303" s="3" t="s">
        <v>57</v>
      </c>
      <c r="E303" s="3" t="s">
        <v>22</v>
      </c>
      <c r="F303" s="3" t="s">
        <v>1098</v>
      </c>
      <c r="G303" s="3">
        <v>993</v>
      </c>
      <c r="H303" s="7">
        <v>44883</v>
      </c>
      <c r="I303" s="6">
        <v>75285.75</v>
      </c>
      <c r="J303" s="6">
        <v>13551.44</v>
      </c>
      <c r="K303" s="4">
        <v>39219023</v>
      </c>
      <c r="L303" s="3" t="s">
        <v>64</v>
      </c>
      <c r="M303" s="3" t="s">
        <v>104</v>
      </c>
      <c r="N303" s="5">
        <f t="shared" si="4"/>
        <v>18.000006641363072</v>
      </c>
    </row>
    <row r="304" spans="1:14" ht="14.4" x14ac:dyDescent="0.3">
      <c r="A304" s="3" t="s">
        <v>1099</v>
      </c>
      <c r="B304" s="3" t="s">
        <v>55</v>
      </c>
      <c r="C304" s="3" t="s">
        <v>56</v>
      </c>
      <c r="D304" s="3" t="s">
        <v>57</v>
      </c>
      <c r="E304" s="3" t="s">
        <v>22</v>
      </c>
      <c r="F304" s="3" t="s">
        <v>1100</v>
      </c>
      <c r="G304" s="3" t="s">
        <v>3498</v>
      </c>
      <c r="H304" s="7">
        <v>44882</v>
      </c>
      <c r="I304" s="6">
        <v>93500</v>
      </c>
      <c r="J304" s="6">
        <v>16830</v>
      </c>
      <c r="K304" s="4">
        <v>96020030</v>
      </c>
      <c r="L304" s="3"/>
      <c r="M304" s="3" t="s">
        <v>961</v>
      </c>
      <c r="N304" s="5">
        <f t="shared" si="4"/>
        <v>18</v>
      </c>
    </row>
    <row r="305" spans="1:14" ht="14.4" x14ac:dyDescent="0.3">
      <c r="A305" s="3" t="s">
        <v>1101</v>
      </c>
      <c r="B305" s="3" t="s">
        <v>94</v>
      </c>
      <c r="C305" s="3" t="s">
        <v>26</v>
      </c>
      <c r="D305" s="3" t="s">
        <v>95</v>
      </c>
      <c r="E305" s="3" t="s">
        <v>22</v>
      </c>
      <c r="F305" s="3" t="s">
        <v>1102</v>
      </c>
      <c r="G305" s="3" t="s">
        <v>3499</v>
      </c>
      <c r="H305" s="7">
        <v>44882</v>
      </c>
      <c r="I305" s="6">
        <v>43620.05</v>
      </c>
      <c r="J305" s="6">
        <v>7851.62</v>
      </c>
      <c r="K305" s="4">
        <v>48192090</v>
      </c>
      <c r="L305" s="3" t="s">
        <v>97</v>
      </c>
      <c r="M305" s="3" t="s">
        <v>961</v>
      </c>
      <c r="N305" s="5">
        <f t="shared" si="4"/>
        <v>18.000025217761099</v>
      </c>
    </row>
    <row r="306" spans="1:14" ht="14.4" x14ac:dyDescent="0.3">
      <c r="A306" s="3" t="s">
        <v>1103</v>
      </c>
      <c r="B306" s="3" t="s">
        <v>178</v>
      </c>
      <c r="C306" s="3" t="s">
        <v>20</v>
      </c>
      <c r="D306" s="3" t="s">
        <v>50</v>
      </c>
      <c r="E306" s="3" t="s">
        <v>22</v>
      </c>
      <c r="F306" s="3" t="s">
        <v>1104</v>
      </c>
      <c r="G306" s="3" t="s">
        <v>3500</v>
      </c>
      <c r="H306" s="7">
        <v>44880</v>
      </c>
      <c r="I306" s="6">
        <v>80279.95</v>
      </c>
      <c r="J306" s="6">
        <v>14450.4</v>
      </c>
      <c r="K306" s="4">
        <v>76071995</v>
      </c>
      <c r="L306" s="3" t="s">
        <v>180</v>
      </c>
      <c r="M306" s="3" t="s">
        <v>32</v>
      </c>
      <c r="N306" s="5">
        <f t="shared" si="4"/>
        <v>18.000011210769316</v>
      </c>
    </row>
    <row r="307" spans="1:14" ht="14.4" x14ac:dyDescent="0.3">
      <c r="A307" s="3" t="s">
        <v>1105</v>
      </c>
      <c r="B307" s="3" t="s">
        <v>25</v>
      </c>
      <c r="C307" s="3" t="s">
        <v>26</v>
      </c>
      <c r="D307" s="3" t="s">
        <v>27</v>
      </c>
      <c r="E307" s="3" t="s">
        <v>28</v>
      </c>
      <c r="F307" s="3" t="s">
        <v>1106</v>
      </c>
      <c r="G307" s="3" t="s">
        <v>3501</v>
      </c>
      <c r="H307" s="7">
        <v>44881</v>
      </c>
      <c r="I307" s="6">
        <v>122715</v>
      </c>
      <c r="J307" s="6">
        <v>22088</v>
      </c>
      <c r="K307" s="4">
        <v>29420090</v>
      </c>
      <c r="L307" s="3" t="s">
        <v>31</v>
      </c>
      <c r="M307" s="3" t="s">
        <v>32</v>
      </c>
      <c r="N307" s="5">
        <f t="shared" si="4"/>
        <v>17.999429572586887</v>
      </c>
    </row>
    <row r="308" spans="1:14" ht="14.4" x14ac:dyDescent="0.3">
      <c r="A308" s="3" t="s">
        <v>1107</v>
      </c>
      <c r="B308" s="3" t="s">
        <v>1108</v>
      </c>
      <c r="C308" s="3" t="s">
        <v>270</v>
      </c>
      <c r="D308" s="3" t="s">
        <v>1109</v>
      </c>
      <c r="E308" s="3" t="s">
        <v>15</v>
      </c>
      <c r="F308" s="3" t="s">
        <v>1110</v>
      </c>
      <c r="G308" s="3">
        <v>5000541318</v>
      </c>
      <c r="H308" s="7">
        <v>44796</v>
      </c>
      <c r="I308" s="6">
        <v>22800</v>
      </c>
      <c r="J308" s="6">
        <v>2736</v>
      </c>
      <c r="K308" s="4">
        <v>3004</v>
      </c>
      <c r="L308" s="3"/>
      <c r="M308" s="3" t="s">
        <v>1111</v>
      </c>
      <c r="N308" s="5">
        <f t="shared" si="4"/>
        <v>12</v>
      </c>
    </row>
    <row r="309" spans="1:14" ht="14.4" x14ac:dyDescent="0.3">
      <c r="A309" s="3" t="s">
        <v>1112</v>
      </c>
      <c r="B309" s="3" t="s">
        <v>1108</v>
      </c>
      <c r="C309" s="3" t="s">
        <v>270</v>
      </c>
      <c r="D309" s="3" t="s">
        <v>1109</v>
      </c>
      <c r="E309" s="3" t="s">
        <v>15</v>
      </c>
      <c r="F309" s="3" t="s">
        <v>1113</v>
      </c>
      <c r="G309" s="3">
        <v>5000528887</v>
      </c>
      <c r="H309" s="7">
        <v>44761</v>
      </c>
      <c r="I309" s="6">
        <v>2912</v>
      </c>
      <c r="J309" s="6">
        <v>349.44</v>
      </c>
      <c r="K309" s="4">
        <v>3004</v>
      </c>
      <c r="L309" s="3"/>
      <c r="M309" s="3" t="s">
        <v>1111</v>
      </c>
      <c r="N309" s="5">
        <f t="shared" si="4"/>
        <v>12</v>
      </c>
    </row>
    <row r="310" spans="1:14" ht="14.4" x14ac:dyDescent="0.3">
      <c r="A310" s="3" t="s">
        <v>1114</v>
      </c>
      <c r="B310" s="3" t="s">
        <v>1115</v>
      </c>
      <c r="C310" s="3" t="s">
        <v>20</v>
      </c>
      <c r="D310" s="3" t="s">
        <v>755</v>
      </c>
      <c r="E310" s="3" t="s">
        <v>22</v>
      </c>
      <c r="F310" s="3" t="s">
        <v>1116</v>
      </c>
      <c r="G310" s="3" t="s">
        <v>3502</v>
      </c>
      <c r="H310" s="7">
        <v>44880</v>
      </c>
      <c r="I310" s="6">
        <v>262055</v>
      </c>
      <c r="J310" s="6">
        <v>47169.9</v>
      </c>
      <c r="K310" s="4">
        <v>8303</v>
      </c>
      <c r="L310" s="3" t="s">
        <v>1117</v>
      </c>
      <c r="M310" s="3" t="s">
        <v>1118</v>
      </c>
      <c r="N310" s="5">
        <f t="shared" si="4"/>
        <v>18</v>
      </c>
    </row>
    <row r="311" spans="1:14" ht="14.4" x14ac:dyDescent="0.3">
      <c r="A311" s="3" t="s">
        <v>1119</v>
      </c>
      <c r="B311" s="3" t="s">
        <v>94</v>
      </c>
      <c r="C311" s="3" t="s">
        <v>26</v>
      </c>
      <c r="D311" s="3" t="s">
        <v>95</v>
      </c>
      <c r="E311" s="3" t="s">
        <v>22</v>
      </c>
      <c r="F311" s="3" t="s">
        <v>1120</v>
      </c>
      <c r="G311" s="3" t="s">
        <v>3503</v>
      </c>
      <c r="H311" s="7">
        <v>44878</v>
      </c>
      <c r="I311" s="6">
        <v>113828.5</v>
      </c>
      <c r="J311" s="6">
        <v>20489.14</v>
      </c>
      <c r="K311" s="4">
        <v>48192090</v>
      </c>
      <c r="L311" s="3" t="s">
        <v>97</v>
      </c>
      <c r="M311" s="3" t="s">
        <v>104</v>
      </c>
      <c r="N311" s="5">
        <f t="shared" si="4"/>
        <v>18.000008785146075</v>
      </c>
    </row>
    <row r="312" spans="1:14" ht="14.4" x14ac:dyDescent="0.3">
      <c r="A312" s="3" t="s">
        <v>1121</v>
      </c>
      <c r="B312" s="3" t="s">
        <v>1122</v>
      </c>
      <c r="C312" s="3" t="s">
        <v>1123</v>
      </c>
      <c r="D312" s="3" t="s">
        <v>1124</v>
      </c>
      <c r="E312" s="3" t="s">
        <v>15</v>
      </c>
      <c r="F312" s="3" t="s">
        <v>1125</v>
      </c>
      <c r="G312" s="3" t="s">
        <v>3504</v>
      </c>
      <c r="H312" s="7">
        <v>44879</v>
      </c>
      <c r="I312" s="6">
        <v>230740</v>
      </c>
      <c r="J312" s="6">
        <v>41533.199999999997</v>
      </c>
      <c r="K312" s="4">
        <v>39232100</v>
      </c>
      <c r="L312" s="3" t="s">
        <v>1126</v>
      </c>
      <c r="M312" s="3" t="s">
        <v>1127</v>
      </c>
      <c r="N312" s="5">
        <f t="shared" si="4"/>
        <v>17.999999999999996</v>
      </c>
    </row>
    <row r="313" spans="1:14" ht="14.4" x14ac:dyDescent="0.3">
      <c r="A313" s="3" t="s">
        <v>1128</v>
      </c>
      <c r="B313" s="3" t="s">
        <v>182</v>
      </c>
      <c r="C313" s="3" t="s">
        <v>20</v>
      </c>
      <c r="D313" s="3" t="s">
        <v>167</v>
      </c>
      <c r="E313" s="3" t="s">
        <v>22</v>
      </c>
      <c r="F313" s="3" t="s">
        <v>1129</v>
      </c>
      <c r="G313" s="3" t="s">
        <v>3505</v>
      </c>
      <c r="H313" s="7">
        <v>44879</v>
      </c>
      <c r="I313" s="6">
        <v>107625</v>
      </c>
      <c r="J313" s="6">
        <v>19372.5</v>
      </c>
      <c r="K313" s="4">
        <v>29242990</v>
      </c>
      <c r="L313" s="3" t="s">
        <v>184</v>
      </c>
      <c r="M313" s="3" t="s">
        <v>104</v>
      </c>
      <c r="N313" s="5">
        <f t="shared" si="4"/>
        <v>18</v>
      </c>
    </row>
    <row r="314" spans="1:14" ht="14.4" x14ac:dyDescent="0.3">
      <c r="A314" s="3" t="s">
        <v>1130</v>
      </c>
      <c r="B314" s="3" t="s">
        <v>1131</v>
      </c>
      <c r="C314" s="3" t="s">
        <v>20</v>
      </c>
      <c r="D314" s="3" t="s">
        <v>1132</v>
      </c>
      <c r="E314" s="3" t="s">
        <v>22</v>
      </c>
      <c r="F314" s="3" t="s">
        <v>1133</v>
      </c>
      <c r="G314" s="3" t="s">
        <v>3506</v>
      </c>
      <c r="H314" s="7">
        <v>44876</v>
      </c>
      <c r="I314" s="6">
        <v>76152</v>
      </c>
      <c r="J314" s="6">
        <v>13707.36</v>
      </c>
      <c r="K314" s="4">
        <v>32050000</v>
      </c>
      <c r="L314" s="3" t="s">
        <v>1134</v>
      </c>
      <c r="M314" s="3" t="s">
        <v>1135</v>
      </c>
      <c r="N314" s="5">
        <f t="shared" si="4"/>
        <v>18</v>
      </c>
    </row>
    <row r="315" spans="1:14" ht="14.4" x14ac:dyDescent="0.3">
      <c r="A315" s="3" t="s">
        <v>1136</v>
      </c>
      <c r="B315" s="3" t="s">
        <v>433</v>
      </c>
      <c r="C315" s="3" t="s">
        <v>20</v>
      </c>
      <c r="D315" s="3" t="s">
        <v>156</v>
      </c>
      <c r="E315" s="3" t="s">
        <v>22</v>
      </c>
      <c r="F315" s="3" t="s">
        <v>1137</v>
      </c>
      <c r="G315" s="3" t="s">
        <v>3507</v>
      </c>
      <c r="H315" s="7">
        <v>44877</v>
      </c>
      <c r="I315" s="6">
        <v>51071.4</v>
      </c>
      <c r="J315" s="6">
        <v>9192.86</v>
      </c>
      <c r="K315" s="4">
        <v>7607</v>
      </c>
      <c r="L315" s="3" t="s">
        <v>435</v>
      </c>
      <c r="M315" s="3" t="s">
        <v>436</v>
      </c>
      <c r="N315" s="5">
        <f t="shared" si="4"/>
        <v>18.000015664344428</v>
      </c>
    </row>
    <row r="316" spans="1:14" ht="14.4" x14ac:dyDescent="0.3">
      <c r="A316" s="3" t="s">
        <v>1138</v>
      </c>
      <c r="B316" s="3" t="s">
        <v>1139</v>
      </c>
      <c r="C316" s="3" t="s">
        <v>1140</v>
      </c>
      <c r="D316" s="3" t="s">
        <v>57</v>
      </c>
      <c r="E316" s="3" t="s">
        <v>22</v>
      </c>
      <c r="F316" s="3" t="s">
        <v>1141</v>
      </c>
      <c r="G316" s="3" t="s">
        <v>3508</v>
      </c>
      <c r="H316" s="7">
        <v>44877</v>
      </c>
      <c r="I316" s="6">
        <v>44880</v>
      </c>
      <c r="J316" s="6">
        <v>8078.4</v>
      </c>
      <c r="K316" s="4">
        <v>83099010</v>
      </c>
      <c r="L316" s="3" t="s">
        <v>1142</v>
      </c>
      <c r="M316" s="3" t="s">
        <v>961</v>
      </c>
      <c r="N316" s="5">
        <f t="shared" si="4"/>
        <v>18</v>
      </c>
    </row>
    <row r="317" spans="1:14" ht="14.4" x14ac:dyDescent="0.3">
      <c r="A317" s="3" t="s">
        <v>1143</v>
      </c>
      <c r="B317" s="3" t="s">
        <v>49</v>
      </c>
      <c r="C317" s="3" t="s">
        <v>20</v>
      </c>
      <c r="D317" s="3" t="s">
        <v>50</v>
      </c>
      <c r="E317" s="3" t="s">
        <v>22</v>
      </c>
      <c r="F317" s="3" t="s">
        <v>1144</v>
      </c>
      <c r="G317" s="3" t="s">
        <v>3509</v>
      </c>
      <c r="H317" s="7">
        <v>44877</v>
      </c>
      <c r="I317" s="6">
        <v>90135.35</v>
      </c>
      <c r="J317" s="6">
        <v>16224.36</v>
      </c>
      <c r="K317" s="4">
        <v>48192020</v>
      </c>
      <c r="L317" s="3" t="s">
        <v>52</v>
      </c>
      <c r="M317" s="3" t="s">
        <v>961</v>
      </c>
      <c r="N317" s="5">
        <f t="shared" si="4"/>
        <v>17.9999966716721</v>
      </c>
    </row>
    <row r="318" spans="1:14" ht="14.4" x14ac:dyDescent="0.3">
      <c r="A318" s="3" t="s">
        <v>1145</v>
      </c>
      <c r="B318" s="3" t="s">
        <v>94</v>
      </c>
      <c r="C318" s="3" t="s">
        <v>26</v>
      </c>
      <c r="D318" s="3" t="s">
        <v>95</v>
      </c>
      <c r="E318" s="3" t="s">
        <v>22</v>
      </c>
      <c r="F318" s="3" t="s">
        <v>1146</v>
      </c>
      <c r="G318" s="3" t="s">
        <v>3510</v>
      </c>
      <c r="H318" s="7">
        <v>44877</v>
      </c>
      <c r="I318" s="6">
        <v>102357.8</v>
      </c>
      <c r="J318" s="6">
        <v>18424.400000000001</v>
      </c>
      <c r="K318" s="4">
        <v>48192090</v>
      </c>
      <c r="L318" s="3" t="s">
        <v>97</v>
      </c>
      <c r="M318" s="3" t="s">
        <v>961</v>
      </c>
      <c r="N318" s="5">
        <f t="shared" si="4"/>
        <v>17.999996092139536</v>
      </c>
    </row>
    <row r="319" spans="1:14" ht="14.4" x14ac:dyDescent="0.3">
      <c r="A319" s="3" t="s">
        <v>1147</v>
      </c>
      <c r="B319" s="3" t="s">
        <v>94</v>
      </c>
      <c r="C319" s="3" t="s">
        <v>26</v>
      </c>
      <c r="D319" s="3" t="s">
        <v>95</v>
      </c>
      <c r="E319" s="3" t="s">
        <v>22</v>
      </c>
      <c r="F319" s="3" t="s">
        <v>1148</v>
      </c>
      <c r="G319" s="3" t="s">
        <v>3511</v>
      </c>
      <c r="H319" s="7">
        <v>44877</v>
      </c>
      <c r="I319" s="6">
        <v>30220</v>
      </c>
      <c r="J319" s="6">
        <v>5439.6</v>
      </c>
      <c r="K319" s="4">
        <v>48192090</v>
      </c>
      <c r="L319" s="3" t="s">
        <v>97</v>
      </c>
      <c r="M319" s="3" t="s">
        <v>961</v>
      </c>
      <c r="N319" s="5">
        <f t="shared" si="4"/>
        <v>18</v>
      </c>
    </row>
    <row r="320" spans="1:14" ht="14.4" x14ac:dyDescent="0.3">
      <c r="A320" s="3" t="s">
        <v>1149</v>
      </c>
      <c r="B320" s="3" t="s">
        <v>89</v>
      </c>
      <c r="C320" s="3" t="s">
        <v>20</v>
      </c>
      <c r="D320" s="3" t="s">
        <v>50</v>
      </c>
      <c r="E320" s="3" t="s">
        <v>22</v>
      </c>
      <c r="F320" s="3" t="s">
        <v>1150</v>
      </c>
      <c r="G320" s="3">
        <v>832</v>
      </c>
      <c r="H320" s="7">
        <v>44877</v>
      </c>
      <c r="I320" s="6">
        <v>67475.899999999994</v>
      </c>
      <c r="J320" s="6">
        <v>12145.66</v>
      </c>
      <c r="K320" s="4">
        <v>76071994</v>
      </c>
      <c r="L320" s="3" t="s">
        <v>744</v>
      </c>
      <c r="M320" s="3" t="s">
        <v>961</v>
      </c>
      <c r="N320" s="5">
        <f t="shared" si="4"/>
        <v>17.999997035978772</v>
      </c>
    </row>
    <row r="321" spans="1:14" ht="14.4" x14ac:dyDescent="0.3">
      <c r="A321" s="3" t="s">
        <v>1151</v>
      </c>
      <c r="B321" s="3" t="s">
        <v>178</v>
      </c>
      <c r="C321" s="3" t="s">
        <v>20</v>
      </c>
      <c r="D321" s="3" t="s">
        <v>50</v>
      </c>
      <c r="E321" s="3" t="s">
        <v>22</v>
      </c>
      <c r="F321" s="3" t="s">
        <v>1152</v>
      </c>
      <c r="G321" s="3" t="s">
        <v>3512</v>
      </c>
      <c r="H321" s="7">
        <v>44875</v>
      </c>
      <c r="I321" s="6">
        <v>44221.1</v>
      </c>
      <c r="J321" s="6">
        <v>7959.8</v>
      </c>
      <c r="K321" s="4">
        <v>76072090</v>
      </c>
      <c r="L321" s="3" t="s">
        <v>1153</v>
      </c>
      <c r="M321" s="3" t="s">
        <v>675</v>
      </c>
      <c r="N321" s="5">
        <f t="shared" si="4"/>
        <v>18.000004522727838</v>
      </c>
    </row>
    <row r="322" spans="1:14" ht="14.4" x14ac:dyDescent="0.3">
      <c r="A322" s="3" t="s">
        <v>1154</v>
      </c>
      <c r="B322" s="3" t="s">
        <v>49</v>
      </c>
      <c r="C322" s="3" t="s">
        <v>20</v>
      </c>
      <c r="D322" s="3" t="s">
        <v>50</v>
      </c>
      <c r="E322" s="3" t="s">
        <v>22</v>
      </c>
      <c r="F322" s="3" t="s">
        <v>1155</v>
      </c>
      <c r="G322" s="3" t="s">
        <v>3513</v>
      </c>
      <c r="H322" s="7">
        <v>44894</v>
      </c>
      <c r="I322" s="6">
        <v>46727</v>
      </c>
      <c r="J322" s="6">
        <v>8410.86</v>
      </c>
      <c r="K322" s="4">
        <v>48192020</v>
      </c>
      <c r="L322" s="3" t="s">
        <v>52</v>
      </c>
      <c r="M322" s="3" t="s">
        <v>36</v>
      </c>
      <c r="N322" s="5">
        <f t="shared" si="4"/>
        <v>18</v>
      </c>
    </row>
    <row r="323" spans="1:14" ht="14.4" x14ac:dyDescent="0.3">
      <c r="A323" s="3" t="s">
        <v>1156</v>
      </c>
      <c r="B323" s="3" t="s">
        <v>1157</v>
      </c>
      <c r="C323" s="3" t="s">
        <v>20</v>
      </c>
      <c r="D323" s="3" t="s">
        <v>755</v>
      </c>
      <c r="E323" s="3" t="s">
        <v>22</v>
      </c>
      <c r="F323" s="3" t="s">
        <v>1158</v>
      </c>
      <c r="G323" s="3">
        <v>185</v>
      </c>
      <c r="H323" s="7">
        <v>44883</v>
      </c>
      <c r="I323" s="6">
        <v>42578</v>
      </c>
      <c r="J323" s="6">
        <v>7664.04</v>
      </c>
      <c r="K323" s="4">
        <v>4819</v>
      </c>
      <c r="L323" s="3"/>
      <c r="M323" s="3" t="s">
        <v>1159</v>
      </c>
      <c r="N323" s="5">
        <f t="shared" ref="N323:N386" si="5">J323*100/I323</f>
        <v>18</v>
      </c>
    </row>
    <row r="324" spans="1:14" ht="14.4" x14ac:dyDescent="0.3">
      <c r="A324" s="3" t="s">
        <v>1160</v>
      </c>
      <c r="B324" s="3" t="s">
        <v>1161</v>
      </c>
      <c r="C324" s="3" t="s">
        <v>20</v>
      </c>
      <c r="D324" s="3" t="s">
        <v>1162</v>
      </c>
      <c r="E324" s="3" t="s">
        <v>22</v>
      </c>
      <c r="F324" s="3" t="s">
        <v>1163</v>
      </c>
      <c r="G324" s="3" t="s">
        <v>3514</v>
      </c>
      <c r="H324" s="7">
        <v>44890</v>
      </c>
      <c r="I324" s="6">
        <v>40000</v>
      </c>
      <c r="J324" s="6">
        <v>7200</v>
      </c>
      <c r="K324" s="4">
        <v>29072200</v>
      </c>
      <c r="L324" s="3" t="s">
        <v>1164</v>
      </c>
      <c r="M324" s="3" t="s">
        <v>98</v>
      </c>
      <c r="N324" s="5">
        <f t="shared" si="5"/>
        <v>18</v>
      </c>
    </row>
    <row r="325" spans="1:14" ht="14.4" x14ac:dyDescent="0.3">
      <c r="A325" s="3" t="s">
        <v>1165</v>
      </c>
      <c r="B325" s="3" t="s">
        <v>1161</v>
      </c>
      <c r="C325" s="3" t="s">
        <v>20</v>
      </c>
      <c r="D325" s="3" t="s">
        <v>1162</v>
      </c>
      <c r="E325" s="3" t="s">
        <v>22</v>
      </c>
      <c r="F325" s="3" t="s">
        <v>1166</v>
      </c>
      <c r="G325" s="3" t="s">
        <v>3515</v>
      </c>
      <c r="H325" s="7">
        <v>44888</v>
      </c>
      <c r="I325" s="6">
        <v>101000</v>
      </c>
      <c r="J325" s="6">
        <v>18180</v>
      </c>
      <c r="K325" s="4">
        <v>29372900</v>
      </c>
      <c r="L325" s="3" t="s">
        <v>365</v>
      </c>
      <c r="M325" s="3" t="s">
        <v>200</v>
      </c>
      <c r="N325" s="5">
        <f t="shared" si="5"/>
        <v>18</v>
      </c>
    </row>
    <row r="326" spans="1:14" ht="14.4" x14ac:dyDescent="0.3">
      <c r="A326" s="3" t="s">
        <v>1167</v>
      </c>
      <c r="B326" s="3" t="s">
        <v>1168</v>
      </c>
      <c r="C326" s="3" t="s">
        <v>20</v>
      </c>
      <c r="D326" s="3" t="s">
        <v>1169</v>
      </c>
      <c r="E326" s="3" t="s">
        <v>22</v>
      </c>
      <c r="F326" s="3" t="s">
        <v>1170</v>
      </c>
      <c r="G326" s="3">
        <v>220293</v>
      </c>
      <c r="H326" s="7">
        <v>44889</v>
      </c>
      <c r="I326" s="6">
        <v>810000</v>
      </c>
      <c r="J326" s="6">
        <v>145800</v>
      </c>
      <c r="K326" s="4">
        <v>29222933</v>
      </c>
      <c r="L326" s="3" t="s">
        <v>1171</v>
      </c>
      <c r="M326" s="3" t="s">
        <v>1172</v>
      </c>
      <c r="N326" s="5">
        <f t="shared" si="5"/>
        <v>18</v>
      </c>
    </row>
    <row r="327" spans="1:14" ht="14.4" x14ac:dyDescent="0.3">
      <c r="A327" s="3" t="s">
        <v>1173</v>
      </c>
      <c r="B327" s="3" t="s">
        <v>659</v>
      </c>
      <c r="C327" s="3" t="s">
        <v>660</v>
      </c>
      <c r="D327" s="3" t="s">
        <v>372</v>
      </c>
      <c r="E327" s="3" t="s">
        <v>80</v>
      </c>
      <c r="F327" s="3" t="s">
        <v>1174</v>
      </c>
      <c r="G327" s="3" t="s">
        <v>3516</v>
      </c>
      <c r="H327" s="7">
        <v>44886</v>
      </c>
      <c r="I327" s="6">
        <v>210000</v>
      </c>
      <c r="J327" s="6">
        <v>37800</v>
      </c>
      <c r="K327" s="4">
        <v>29420090</v>
      </c>
      <c r="L327" s="3" t="s">
        <v>71</v>
      </c>
      <c r="M327" s="3" t="s">
        <v>200</v>
      </c>
      <c r="N327" s="5">
        <f t="shared" si="5"/>
        <v>18</v>
      </c>
    </row>
    <row r="328" spans="1:14" ht="14.4" x14ac:dyDescent="0.3">
      <c r="A328" s="3" t="s">
        <v>1175</v>
      </c>
      <c r="B328" s="3" t="s">
        <v>315</v>
      </c>
      <c r="C328" s="3" t="s">
        <v>316</v>
      </c>
      <c r="D328" s="3" t="s">
        <v>292</v>
      </c>
      <c r="E328" s="3" t="s">
        <v>317</v>
      </c>
      <c r="F328" s="3" t="s">
        <v>1176</v>
      </c>
      <c r="G328" s="3" t="s">
        <v>3517</v>
      </c>
      <c r="H328" s="7">
        <v>44883</v>
      </c>
      <c r="I328" s="6">
        <v>46500</v>
      </c>
      <c r="J328" s="6">
        <v>8370</v>
      </c>
      <c r="K328" s="4">
        <v>29332990</v>
      </c>
      <c r="L328" s="3"/>
      <c r="M328" s="3" t="s">
        <v>822</v>
      </c>
      <c r="N328" s="5">
        <f t="shared" si="5"/>
        <v>18</v>
      </c>
    </row>
    <row r="329" spans="1:14" ht="14.4" x14ac:dyDescent="0.3">
      <c r="A329" s="3" t="s">
        <v>1177</v>
      </c>
      <c r="B329" s="3" t="s">
        <v>1178</v>
      </c>
      <c r="C329" s="3" t="s">
        <v>376</v>
      </c>
      <c r="D329" s="3" t="s">
        <v>292</v>
      </c>
      <c r="E329" s="3" t="s">
        <v>80</v>
      </c>
      <c r="F329" s="3" t="s">
        <v>1179</v>
      </c>
      <c r="G329" s="3" t="s">
        <v>3518</v>
      </c>
      <c r="H329" s="7">
        <v>44886</v>
      </c>
      <c r="I329" s="6">
        <v>171250</v>
      </c>
      <c r="J329" s="6">
        <v>30825</v>
      </c>
      <c r="K329" s="4">
        <v>29419090</v>
      </c>
      <c r="L329" s="3" t="s">
        <v>1180</v>
      </c>
      <c r="M329" s="3" t="s">
        <v>822</v>
      </c>
      <c r="N329" s="5">
        <f t="shared" si="5"/>
        <v>18</v>
      </c>
    </row>
    <row r="330" spans="1:14" ht="14.4" x14ac:dyDescent="0.3">
      <c r="A330" s="3" t="s">
        <v>1181</v>
      </c>
      <c r="B330" s="3" t="s">
        <v>315</v>
      </c>
      <c r="C330" s="3" t="s">
        <v>316</v>
      </c>
      <c r="D330" s="3" t="s">
        <v>292</v>
      </c>
      <c r="E330" s="3" t="s">
        <v>317</v>
      </c>
      <c r="F330" s="3" t="s">
        <v>1182</v>
      </c>
      <c r="G330" s="3" t="s">
        <v>3519</v>
      </c>
      <c r="H330" s="7">
        <v>44879</v>
      </c>
      <c r="I330" s="6">
        <v>72500</v>
      </c>
      <c r="J330" s="6">
        <v>13050</v>
      </c>
      <c r="K330" s="4">
        <v>29225090</v>
      </c>
      <c r="L330" s="3"/>
      <c r="M330" s="3" t="s">
        <v>1183</v>
      </c>
      <c r="N330" s="5">
        <f t="shared" si="5"/>
        <v>18</v>
      </c>
    </row>
    <row r="331" spans="1:14" ht="14.4" x14ac:dyDescent="0.3">
      <c r="A331" s="3" t="s">
        <v>1184</v>
      </c>
      <c r="B331" s="3" t="s">
        <v>677</v>
      </c>
      <c r="C331" s="3" t="s">
        <v>134</v>
      </c>
      <c r="D331" s="3" t="s">
        <v>678</v>
      </c>
      <c r="E331" s="3" t="s">
        <v>22</v>
      </c>
      <c r="F331" s="3" t="s">
        <v>1185</v>
      </c>
      <c r="G331" s="3" t="s">
        <v>3520</v>
      </c>
      <c r="H331" s="7">
        <v>44876</v>
      </c>
      <c r="I331" s="6">
        <v>219741.72</v>
      </c>
      <c r="J331" s="6">
        <v>39553.51</v>
      </c>
      <c r="K331" s="4">
        <v>29395900</v>
      </c>
      <c r="L331" s="3" t="s">
        <v>1186</v>
      </c>
      <c r="M331" s="3" t="s">
        <v>1187</v>
      </c>
      <c r="N331" s="5">
        <f t="shared" si="5"/>
        <v>18.000000182031886</v>
      </c>
    </row>
    <row r="332" spans="1:14" ht="14.4" x14ac:dyDescent="0.3">
      <c r="A332" s="3" t="s">
        <v>1188</v>
      </c>
      <c r="B332" s="3" t="s">
        <v>336</v>
      </c>
      <c r="C332" s="3" t="s">
        <v>134</v>
      </c>
      <c r="D332" s="3" t="s">
        <v>292</v>
      </c>
      <c r="E332" s="3" t="s">
        <v>188</v>
      </c>
      <c r="F332" s="3" t="s">
        <v>1189</v>
      </c>
      <c r="G332" s="3">
        <v>2707</v>
      </c>
      <c r="H332" s="7">
        <v>44877</v>
      </c>
      <c r="I332" s="6">
        <v>188689</v>
      </c>
      <c r="J332" s="6">
        <v>33964.019999999997</v>
      </c>
      <c r="K332" s="4">
        <v>29420090</v>
      </c>
      <c r="L332" s="3" t="s">
        <v>1190</v>
      </c>
      <c r="M332" s="3" t="s">
        <v>597</v>
      </c>
      <c r="N332" s="5">
        <f t="shared" si="5"/>
        <v>17.999999999999996</v>
      </c>
    </row>
    <row r="333" spans="1:14" ht="14.4" x14ac:dyDescent="0.3">
      <c r="A333" s="3" t="s">
        <v>1191</v>
      </c>
      <c r="B333" s="3" t="s">
        <v>315</v>
      </c>
      <c r="C333" s="3" t="s">
        <v>316</v>
      </c>
      <c r="D333" s="3" t="s">
        <v>292</v>
      </c>
      <c r="E333" s="3" t="s">
        <v>317</v>
      </c>
      <c r="F333" s="3" t="s">
        <v>1192</v>
      </c>
      <c r="G333" s="3" t="s">
        <v>3521</v>
      </c>
      <c r="H333" s="7">
        <v>44877</v>
      </c>
      <c r="I333" s="6">
        <v>176750</v>
      </c>
      <c r="J333" s="6">
        <v>31815</v>
      </c>
      <c r="K333" s="4">
        <v>29334900</v>
      </c>
      <c r="L333" s="3"/>
      <c r="M333" s="3" t="s">
        <v>1193</v>
      </c>
      <c r="N333" s="5">
        <f t="shared" si="5"/>
        <v>18</v>
      </c>
    </row>
    <row r="334" spans="1:14" ht="14.4" x14ac:dyDescent="0.3">
      <c r="A334" s="3" t="s">
        <v>1194</v>
      </c>
      <c r="B334" s="3" t="s">
        <v>1178</v>
      </c>
      <c r="C334" s="3" t="s">
        <v>376</v>
      </c>
      <c r="D334" s="3" t="s">
        <v>292</v>
      </c>
      <c r="E334" s="3" t="s">
        <v>80</v>
      </c>
      <c r="F334" s="3" t="s">
        <v>1195</v>
      </c>
      <c r="G334" s="3" t="s">
        <v>3522</v>
      </c>
      <c r="H334" s="7">
        <v>44876</v>
      </c>
      <c r="I334" s="6">
        <v>685000</v>
      </c>
      <c r="J334" s="6">
        <v>123300</v>
      </c>
      <c r="K334" s="4">
        <v>29419090</v>
      </c>
      <c r="L334" s="3" t="s">
        <v>1180</v>
      </c>
      <c r="M334" s="3" t="s">
        <v>1193</v>
      </c>
      <c r="N334" s="5">
        <f t="shared" si="5"/>
        <v>18</v>
      </c>
    </row>
    <row r="335" spans="1:14" ht="14.4" x14ac:dyDescent="0.3">
      <c r="A335" s="3" t="s">
        <v>1196</v>
      </c>
      <c r="B335" s="3" t="s">
        <v>1197</v>
      </c>
      <c r="C335" s="3" t="s">
        <v>20</v>
      </c>
      <c r="D335" s="3" t="s">
        <v>1198</v>
      </c>
      <c r="E335" s="3" t="s">
        <v>22</v>
      </c>
      <c r="F335" s="3" t="s">
        <v>1199</v>
      </c>
      <c r="G335" s="3" t="s">
        <v>3523</v>
      </c>
      <c r="H335" s="7">
        <v>44866</v>
      </c>
      <c r="I335" s="6">
        <v>77950</v>
      </c>
      <c r="J335" s="6">
        <v>14031</v>
      </c>
      <c r="K335" s="4">
        <v>84749000</v>
      </c>
      <c r="L335" s="3" t="s">
        <v>1200</v>
      </c>
      <c r="M335" s="3" t="s">
        <v>1201</v>
      </c>
      <c r="N335" s="5">
        <f t="shared" si="5"/>
        <v>18</v>
      </c>
    </row>
    <row r="336" spans="1:14" ht="14.4" x14ac:dyDescent="0.3">
      <c r="A336" s="3" t="s">
        <v>1202</v>
      </c>
      <c r="B336" s="3" t="s">
        <v>1178</v>
      </c>
      <c r="C336" s="3" t="s">
        <v>376</v>
      </c>
      <c r="D336" s="3" t="s">
        <v>292</v>
      </c>
      <c r="E336" s="3" t="s">
        <v>80</v>
      </c>
      <c r="F336" s="3" t="s">
        <v>1203</v>
      </c>
      <c r="G336" s="3" t="s">
        <v>3524</v>
      </c>
      <c r="H336" s="7">
        <v>44921</v>
      </c>
      <c r="I336" s="6">
        <v>53000</v>
      </c>
      <c r="J336" s="6">
        <v>9540</v>
      </c>
      <c r="K336" s="4">
        <v>29420090</v>
      </c>
      <c r="L336" s="3" t="s">
        <v>1204</v>
      </c>
      <c r="M336" s="3" t="s">
        <v>675</v>
      </c>
      <c r="N336" s="5">
        <f t="shared" si="5"/>
        <v>18</v>
      </c>
    </row>
    <row r="337" spans="1:14" ht="14.4" x14ac:dyDescent="0.3">
      <c r="A337" s="3" t="s">
        <v>1205</v>
      </c>
      <c r="B337" s="3" t="s">
        <v>295</v>
      </c>
      <c r="C337" s="3" t="s">
        <v>296</v>
      </c>
      <c r="D337" s="3" t="s">
        <v>297</v>
      </c>
      <c r="E337" s="3" t="s">
        <v>298</v>
      </c>
      <c r="F337" s="3" t="s">
        <v>1206</v>
      </c>
      <c r="G337" s="3" t="s">
        <v>3525</v>
      </c>
      <c r="H337" s="7">
        <v>44925</v>
      </c>
      <c r="I337" s="6">
        <v>668750</v>
      </c>
      <c r="J337" s="6">
        <v>120375</v>
      </c>
      <c r="K337" s="4">
        <v>29419020</v>
      </c>
      <c r="L337" s="3" t="s">
        <v>1207</v>
      </c>
      <c r="M337" s="3"/>
      <c r="N337" s="5">
        <f t="shared" si="5"/>
        <v>18</v>
      </c>
    </row>
    <row r="338" spans="1:14" ht="14.4" x14ac:dyDescent="0.3">
      <c r="A338" s="3" t="s">
        <v>1208</v>
      </c>
      <c r="B338" s="3" t="s">
        <v>686</v>
      </c>
      <c r="C338" s="3" t="s">
        <v>134</v>
      </c>
      <c r="D338" s="3" t="s">
        <v>687</v>
      </c>
      <c r="E338" s="3" t="s">
        <v>80</v>
      </c>
      <c r="F338" s="3" t="s">
        <v>1209</v>
      </c>
      <c r="G338" s="3">
        <v>598</v>
      </c>
      <c r="H338" s="7">
        <v>44919</v>
      </c>
      <c r="I338" s="6">
        <v>180180</v>
      </c>
      <c r="J338" s="6">
        <v>32432.400000000001</v>
      </c>
      <c r="K338" s="4">
        <v>29420090</v>
      </c>
      <c r="L338" s="3"/>
      <c r="M338" s="3"/>
      <c r="N338" s="5">
        <f t="shared" si="5"/>
        <v>18</v>
      </c>
    </row>
    <row r="339" spans="1:14" ht="14.4" x14ac:dyDescent="0.3">
      <c r="A339" s="3" t="s">
        <v>1210</v>
      </c>
      <c r="B339" s="3" t="s">
        <v>290</v>
      </c>
      <c r="C339" s="3" t="s">
        <v>291</v>
      </c>
      <c r="D339" s="3" t="s">
        <v>292</v>
      </c>
      <c r="E339" s="3" t="s">
        <v>22</v>
      </c>
      <c r="F339" s="3" t="s">
        <v>1211</v>
      </c>
      <c r="G339" s="3">
        <v>224623</v>
      </c>
      <c r="H339" s="7">
        <v>44917</v>
      </c>
      <c r="I339" s="6">
        <v>53476.5</v>
      </c>
      <c r="J339" s="6">
        <v>9625.77</v>
      </c>
      <c r="K339" s="4">
        <v>29331990</v>
      </c>
      <c r="L339" s="3"/>
      <c r="M339" s="3" t="s">
        <v>72</v>
      </c>
      <c r="N339" s="5">
        <f t="shared" si="5"/>
        <v>18</v>
      </c>
    </row>
    <row r="340" spans="1:14" ht="14.4" x14ac:dyDescent="0.3">
      <c r="A340" s="3" t="s">
        <v>1212</v>
      </c>
      <c r="B340" s="3" t="s">
        <v>315</v>
      </c>
      <c r="C340" s="3" t="s">
        <v>316</v>
      </c>
      <c r="D340" s="3" t="s">
        <v>292</v>
      </c>
      <c r="E340" s="3" t="s">
        <v>317</v>
      </c>
      <c r="F340" s="3" t="s">
        <v>1213</v>
      </c>
      <c r="G340" s="3" t="s">
        <v>3526</v>
      </c>
      <c r="H340" s="7">
        <v>44917</v>
      </c>
      <c r="I340" s="6">
        <v>147750</v>
      </c>
      <c r="J340" s="6">
        <v>26595</v>
      </c>
      <c r="K340" s="4">
        <v>29225090</v>
      </c>
      <c r="L340" s="3"/>
      <c r="M340" s="3" t="s">
        <v>1214</v>
      </c>
      <c r="N340" s="5">
        <f t="shared" si="5"/>
        <v>18</v>
      </c>
    </row>
    <row r="341" spans="1:14" ht="14.4" x14ac:dyDescent="0.3">
      <c r="A341" s="3" t="s">
        <v>1215</v>
      </c>
      <c r="B341" s="3" t="s">
        <v>1216</v>
      </c>
      <c r="C341" s="3" t="s">
        <v>20</v>
      </c>
      <c r="D341" s="3" t="s">
        <v>1217</v>
      </c>
      <c r="E341" s="3" t="s">
        <v>22</v>
      </c>
      <c r="F341" s="3" t="s">
        <v>1218</v>
      </c>
      <c r="G341" s="3">
        <v>1208</v>
      </c>
      <c r="H341" s="7">
        <v>44916</v>
      </c>
      <c r="I341" s="6">
        <v>112812.5</v>
      </c>
      <c r="J341" s="6">
        <v>20306.25</v>
      </c>
      <c r="K341" s="4">
        <v>29419030</v>
      </c>
      <c r="L341" s="3"/>
      <c r="M341" s="3" t="s">
        <v>1214</v>
      </c>
      <c r="N341" s="5">
        <f t="shared" si="5"/>
        <v>18</v>
      </c>
    </row>
    <row r="342" spans="1:14" ht="14.4" x14ac:dyDescent="0.3">
      <c r="A342" s="3" t="s">
        <v>1219</v>
      </c>
      <c r="B342" s="3" t="s">
        <v>1220</v>
      </c>
      <c r="C342" s="3" t="s">
        <v>20</v>
      </c>
      <c r="D342" s="3" t="s">
        <v>1221</v>
      </c>
      <c r="E342" s="3" t="s">
        <v>1222</v>
      </c>
      <c r="F342" s="3" t="s">
        <v>1223</v>
      </c>
      <c r="G342" s="3" t="s">
        <v>3527</v>
      </c>
      <c r="H342" s="7">
        <v>44912</v>
      </c>
      <c r="I342" s="6">
        <v>71000</v>
      </c>
      <c r="J342" s="6">
        <v>12780</v>
      </c>
      <c r="K342" s="4">
        <v>29157090</v>
      </c>
      <c r="L342" s="3" t="s">
        <v>1224</v>
      </c>
      <c r="M342" s="3" t="s">
        <v>1225</v>
      </c>
      <c r="N342" s="5">
        <f t="shared" si="5"/>
        <v>18</v>
      </c>
    </row>
    <row r="343" spans="1:14" ht="14.4" x14ac:dyDescent="0.3">
      <c r="A343" s="3" t="s">
        <v>1226</v>
      </c>
      <c r="B343" s="3" t="s">
        <v>315</v>
      </c>
      <c r="C343" s="3" t="s">
        <v>316</v>
      </c>
      <c r="D343" s="3" t="s">
        <v>292</v>
      </c>
      <c r="E343" s="3" t="s">
        <v>317</v>
      </c>
      <c r="F343" s="3" t="s">
        <v>1227</v>
      </c>
      <c r="G343" s="3" t="s">
        <v>3528</v>
      </c>
      <c r="H343" s="7">
        <v>44901</v>
      </c>
      <c r="I343" s="6">
        <v>127000</v>
      </c>
      <c r="J343" s="6">
        <v>22860</v>
      </c>
      <c r="K343" s="4">
        <v>29225090</v>
      </c>
      <c r="L343" s="3"/>
      <c r="M343" s="3" t="s">
        <v>1228</v>
      </c>
      <c r="N343" s="5">
        <f t="shared" si="5"/>
        <v>18</v>
      </c>
    </row>
    <row r="344" spans="1:14" ht="14.4" x14ac:dyDescent="0.3">
      <c r="A344" s="3" t="s">
        <v>1229</v>
      </c>
      <c r="B344" s="3" t="s">
        <v>315</v>
      </c>
      <c r="C344" s="3" t="s">
        <v>316</v>
      </c>
      <c r="D344" s="3" t="s">
        <v>292</v>
      </c>
      <c r="E344" s="3" t="s">
        <v>317</v>
      </c>
      <c r="F344" s="3" t="s">
        <v>1230</v>
      </c>
      <c r="G344" s="3" t="s">
        <v>3529</v>
      </c>
      <c r="H344" s="7">
        <v>44894</v>
      </c>
      <c r="I344" s="6">
        <v>171250</v>
      </c>
      <c r="J344" s="6">
        <v>30825</v>
      </c>
      <c r="K344" s="4">
        <v>29420012</v>
      </c>
      <c r="L344" s="3"/>
      <c r="M344" s="3" t="s">
        <v>1193</v>
      </c>
      <c r="N344" s="5">
        <f t="shared" si="5"/>
        <v>18</v>
      </c>
    </row>
    <row r="345" spans="1:14" ht="14.4" x14ac:dyDescent="0.3">
      <c r="A345" s="3" t="s">
        <v>1231</v>
      </c>
      <c r="B345" s="3" t="s">
        <v>1161</v>
      </c>
      <c r="C345" s="3" t="s">
        <v>20</v>
      </c>
      <c r="D345" s="3" t="s">
        <v>1162</v>
      </c>
      <c r="E345" s="3" t="s">
        <v>80</v>
      </c>
      <c r="F345" s="3" t="s">
        <v>1232</v>
      </c>
      <c r="G345" s="3" t="s">
        <v>3530</v>
      </c>
      <c r="H345" s="7">
        <v>44922</v>
      </c>
      <c r="I345" s="6">
        <v>17250</v>
      </c>
      <c r="J345" s="6">
        <v>3105</v>
      </c>
      <c r="K345" s="4">
        <v>29349990</v>
      </c>
      <c r="L345" s="3" t="s">
        <v>365</v>
      </c>
      <c r="M345" s="3" t="s">
        <v>675</v>
      </c>
      <c r="N345" s="5">
        <f t="shared" si="5"/>
        <v>18</v>
      </c>
    </row>
    <row r="346" spans="1:14" ht="14.4" x14ac:dyDescent="0.3">
      <c r="A346" s="3" t="s">
        <v>1233</v>
      </c>
      <c r="B346" s="3" t="s">
        <v>309</v>
      </c>
      <c r="C346" s="3" t="s">
        <v>310</v>
      </c>
      <c r="D346" s="3" t="s">
        <v>311</v>
      </c>
      <c r="E346" s="3" t="s">
        <v>80</v>
      </c>
      <c r="F346" s="3" t="s">
        <v>1234</v>
      </c>
      <c r="G346" s="3" t="s">
        <v>3531</v>
      </c>
      <c r="H346" s="7">
        <v>44921</v>
      </c>
      <c r="I346" s="6">
        <v>52500</v>
      </c>
      <c r="J346" s="6">
        <v>9450</v>
      </c>
      <c r="K346" s="4">
        <v>29335990</v>
      </c>
      <c r="L346" s="3" t="s">
        <v>313</v>
      </c>
      <c r="M346" s="3"/>
      <c r="N346" s="5">
        <f t="shared" si="5"/>
        <v>18</v>
      </c>
    </row>
    <row r="347" spans="1:14" ht="14.4" x14ac:dyDescent="0.3">
      <c r="A347" s="3" t="s">
        <v>1235</v>
      </c>
      <c r="B347" s="3" t="s">
        <v>315</v>
      </c>
      <c r="C347" s="3" t="s">
        <v>316</v>
      </c>
      <c r="D347" s="3" t="s">
        <v>292</v>
      </c>
      <c r="E347" s="3" t="s">
        <v>317</v>
      </c>
      <c r="F347" s="3" t="s">
        <v>1236</v>
      </c>
      <c r="G347" s="3" t="s">
        <v>3532</v>
      </c>
      <c r="H347" s="7">
        <v>44919</v>
      </c>
      <c r="I347" s="6">
        <v>178750</v>
      </c>
      <c r="J347" s="6">
        <v>32175</v>
      </c>
      <c r="K347" s="4">
        <v>29420012</v>
      </c>
      <c r="L347" s="3"/>
      <c r="M347" s="3" t="s">
        <v>1237</v>
      </c>
      <c r="N347" s="5">
        <f t="shared" si="5"/>
        <v>18</v>
      </c>
    </row>
    <row r="348" spans="1:14" ht="14.4" x14ac:dyDescent="0.3">
      <c r="A348" s="3" t="s">
        <v>1238</v>
      </c>
      <c r="B348" s="3" t="s">
        <v>345</v>
      </c>
      <c r="C348" s="3" t="s">
        <v>346</v>
      </c>
      <c r="D348" s="3" t="s">
        <v>347</v>
      </c>
      <c r="E348" s="3" t="s">
        <v>348</v>
      </c>
      <c r="F348" s="3" t="s">
        <v>1239</v>
      </c>
      <c r="G348" s="3">
        <v>1870</v>
      </c>
      <c r="H348" s="7">
        <v>44917</v>
      </c>
      <c r="I348" s="6">
        <v>14511.13</v>
      </c>
      <c r="J348" s="6">
        <v>2612</v>
      </c>
      <c r="K348" s="4">
        <v>29333990</v>
      </c>
      <c r="L348" s="3"/>
      <c r="M348" s="3" t="s">
        <v>1240</v>
      </c>
      <c r="N348" s="5">
        <f t="shared" si="5"/>
        <v>17.999976569708906</v>
      </c>
    </row>
    <row r="349" spans="1:14" ht="14.4" x14ac:dyDescent="0.3">
      <c r="A349" s="3" t="s">
        <v>1241</v>
      </c>
      <c r="B349" s="3" t="s">
        <v>677</v>
      </c>
      <c r="C349" s="3" t="s">
        <v>134</v>
      </c>
      <c r="D349" s="3" t="s">
        <v>678</v>
      </c>
      <c r="E349" s="3" t="s">
        <v>22</v>
      </c>
      <c r="F349" s="3" t="s">
        <v>1242</v>
      </c>
      <c r="G349" s="3" t="s">
        <v>3533</v>
      </c>
      <c r="H349" s="7">
        <v>44916</v>
      </c>
      <c r="I349" s="6">
        <v>79462.31</v>
      </c>
      <c r="J349" s="6">
        <v>14303.22</v>
      </c>
      <c r="K349" s="4">
        <v>29335990</v>
      </c>
      <c r="L349" s="3" t="s">
        <v>1243</v>
      </c>
      <c r="M349" s="3" t="s">
        <v>1214</v>
      </c>
      <c r="N349" s="5">
        <f t="shared" si="5"/>
        <v>18.000005285524672</v>
      </c>
    </row>
    <row r="350" spans="1:14" ht="14.4" x14ac:dyDescent="0.3">
      <c r="A350" s="3" t="s">
        <v>1244</v>
      </c>
      <c r="B350" s="3" t="s">
        <v>315</v>
      </c>
      <c r="C350" s="3" t="s">
        <v>316</v>
      </c>
      <c r="D350" s="3" t="s">
        <v>292</v>
      </c>
      <c r="E350" s="3" t="s">
        <v>317</v>
      </c>
      <c r="F350" s="3" t="s">
        <v>1245</v>
      </c>
      <c r="G350" s="3" t="s">
        <v>3534</v>
      </c>
      <c r="H350" s="7">
        <v>44911</v>
      </c>
      <c r="I350" s="6">
        <v>173000</v>
      </c>
      <c r="J350" s="6">
        <v>31140</v>
      </c>
      <c r="K350" s="4">
        <v>29332990</v>
      </c>
      <c r="L350" s="3"/>
      <c r="M350" s="3" t="s">
        <v>36</v>
      </c>
      <c r="N350" s="5">
        <f t="shared" si="5"/>
        <v>18</v>
      </c>
    </row>
    <row r="351" spans="1:14" ht="14.4" x14ac:dyDescent="0.3">
      <c r="A351" s="3" t="s">
        <v>1246</v>
      </c>
      <c r="B351" s="3" t="s">
        <v>371</v>
      </c>
      <c r="C351" s="3" t="s">
        <v>134</v>
      </c>
      <c r="D351" s="3" t="s">
        <v>372</v>
      </c>
      <c r="E351" s="3" t="s">
        <v>80</v>
      </c>
      <c r="F351" s="3" t="s">
        <v>1247</v>
      </c>
      <c r="G351" s="3">
        <v>108233</v>
      </c>
      <c r="H351" s="7">
        <v>44897</v>
      </c>
      <c r="I351" s="6">
        <v>115000</v>
      </c>
      <c r="J351" s="6">
        <v>20700</v>
      </c>
      <c r="K351" s="4">
        <v>39123100</v>
      </c>
      <c r="L351" s="3"/>
      <c r="M351" s="3" t="s">
        <v>1193</v>
      </c>
      <c r="N351" s="5">
        <f t="shared" si="5"/>
        <v>18</v>
      </c>
    </row>
    <row r="352" spans="1:14" ht="14.4" x14ac:dyDescent="0.3">
      <c r="A352" s="3" t="s">
        <v>1248</v>
      </c>
      <c r="B352" s="3" t="s">
        <v>282</v>
      </c>
      <c r="C352" s="3" t="s">
        <v>283</v>
      </c>
      <c r="D352" s="3" t="s">
        <v>284</v>
      </c>
      <c r="E352" s="3" t="s">
        <v>285</v>
      </c>
      <c r="F352" s="3" t="s">
        <v>1249</v>
      </c>
      <c r="G352" s="3" t="s">
        <v>3535</v>
      </c>
      <c r="H352" s="7">
        <v>44896</v>
      </c>
      <c r="I352" s="6">
        <v>490000</v>
      </c>
      <c r="J352" s="6">
        <v>88200</v>
      </c>
      <c r="K352" s="4">
        <v>29339990</v>
      </c>
      <c r="L352" s="3" t="s">
        <v>287</v>
      </c>
      <c r="M352" s="3" t="s">
        <v>288</v>
      </c>
      <c r="N352" s="5">
        <f t="shared" si="5"/>
        <v>18</v>
      </c>
    </row>
    <row r="353" spans="1:14" ht="14.4" x14ac:dyDescent="0.3">
      <c r="A353" s="3" t="s">
        <v>1250</v>
      </c>
      <c r="B353" s="3" t="s">
        <v>303</v>
      </c>
      <c r="C353" s="3" t="s">
        <v>304</v>
      </c>
      <c r="D353" s="3" t="s">
        <v>305</v>
      </c>
      <c r="E353" s="3" t="s">
        <v>15</v>
      </c>
      <c r="F353" s="3" t="s">
        <v>1251</v>
      </c>
      <c r="G353" s="3" t="s">
        <v>3536</v>
      </c>
      <c r="H353" s="7">
        <v>44918</v>
      </c>
      <c r="I353" s="6">
        <v>137500</v>
      </c>
      <c r="J353" s="6">
        <v>24750</v>
      </c>
      <c r="K353" s="4">
        <v>29362700</v>
      </c>
      <c r="L353" s="3" t="s">
        <v>1252</v>
      </c>
      <c r="M353" s="3" t="s">
        <v>675</v>
      </c>
      <c r="N353" s="5">
        <f t="shared" si="5"/>
        <v>18</v>
      </c>
    </row>
    <row r="354" spans="1:14" ht="14.4" x14ac:dyDescent="0.3">
      <c r="A354" s="3" t="s">
        <v>1253</v>
      </c>
      <c r="B354" s="3" t="s">
        <v>61</v>
      </c>
      <c r="C354" s="3" t="s">
        <v>62</v>
      </c>
      <c r="D354" s="3" t="s">
        <v>57</v>
      </c>
      <c r="E354" s="3" t="s">
        <v>22</v>
      </c>
      <c r="F354" s="3" t="s">
        <v>1254</v>
      </c>
      <c r="G354" s="3">
        <v>1109</v>
      </c>
      <c r="H354" s="7">
        <v>44914</v>
      </c>
      <c r="I354" s="6">
        <v>103899.7</v>
      </c>
      <c r="J354" s="6">
        <v>18701.939999999999</v>
      </c>
      <c r="K354" s="4">
        <v>39219023</v>
      </c>
      <c r="L354" s="3" t="s">
        <v>64</v>
      </c>
      <c r="M354" s="3" t="s">
        <v>195</v>
      </c>
      <c r="N354" s="5">
        <f t="shared" si="5"/>
        <v>17.999994225199877</v>
      </c>
    </row>
    <row r="355" spans="1:14" ht="14.4" x14ac:dyDescent="0.3">
      <c r="A355" s="3" t="s">
        <v>1255</v>
      </c>
      <c r="B355" s="3" t="s">
        <v>150</v>
      </c>
      <c r="C355" s="3" t="s">
        <v>134</v>
      </c>
      <c r="D355" s="3" t="s">
        <v>151</v>
      </c>
      <c r="E355" s="3" t="s">
        <v>22</v>
      </c>
      <c r="F355" s="3" t="s">
        <v>1256</v>
      </c>
      <c r="G355" s="3" t="s">
        <v>3537</v>
      </c>
      <c r="H355" s="7">
        <v>44908</v>
      </c>
      <c r="I355" s="6">
        <v>410000</v>
      </c>
      <c r="J355" s="6">
        <v>73800</v>
      </c>
      <c r="K355" s="4">
        <v>39233090</v>
      </c>
      <c r="L355" s="3" t="s">
        <v>1257</v>
      </c>
      <c r="M355" s="3" t="s">
        <v>1258</v>
      </c>
      <c r="N355" s="5">
        <f t="shared" si="5"/>
        <v>18</v>
      </c>
    </row>
    <row r="356" spans="1:14" ht="14.4" x14ac:dyDescent="0.3">
      <c r="A356" s="3" t="s">
        <v>1259</v>
      </c>
      <c r="B356" s="3" t="s">
        <v>84</v>
      </c>
      <c r="C356" s="3" t="s">
        <v>20</v>
      </c>
      <c r="D356" s="3" t="s">
        <v>239</v>
      </c>
      <c r="E356" s="3" t="s">
        <v>22</v>
      </c>
      <c r="F356" s="3" t="s">
        <v>1260</v>
      </c>
      <c r="G356" s="3" t="s">
        <v>3538</v>
      </c>
      <c r="H356" s="7">
        <v>44903</v>
      </c>
      <c r="I356" s="6">
        <v>29718.3</v>
      </c>
      <c r="J356" s="6">
        <v>5349.29</v>
      </c>
      <c r="K356" s="4">
        <v>3921</v>
      </c>
      <c r="L356" s="3" t="s">
        <v>118</v>
      </c>
      <c r="M356" s="3" t="s">
        <v>1261</v>
      </c>
      <c r="N356" s="5">
        <f t="shared" si="5"/>
        <v>17.999986540279895</v>
      </c>
    </row>
    <row r="357" spans="1:14" ht="14.4" x14ac:dyDescent="0.3">
      <c r="A357" s="3" t="s">
        <v>1262</v>
      </c>
      <c r="B357" s="3" t="s">
        <v>182</v>
      </c>
      <c r="C357" s="3" t="s">
        <v>20</v>
      </c>
      <c r="D357" s="3" t="s">
        <v>167</v>
      </c>
      <c r="E357" s="3" t="s">
        <v>22</v>
      </c>
      <c r="F357" s="3" t="s">
        <v>1263</v>
      </c>
      <c r="G357" s="3" t="s">
        <v>3539</v>
      </c>
      <c r="H357" s="7">
        <v>44897</v>
      </c>
      <c r="I357" s="6">
        <v>49100</v>
      </c>
      <c r="J357" s="6">
        <v>8838</v>
      </c>
      <c r="K357" s="4">
        <v>39059990</v>
      </c>
      <c r="L357" s="3" t="s">
        <v>428</v>
      </c>
      <c r="M357" s="3" t="s">
        <v>36</v>
      </c>
      <c r="N357" s="5">
        <f t="shared" si="5"/>
        <v>18</v>
      </c>
    </row>
    <row r="358" spans="1:14" ht="14.4" x14ac:dyDescent="0.3">
      <c r="A358" s="3" t="s">
        <v>1264</v>
      </c>
      <c r="B358" s="3" t="s">
        <v>980</v>
      </c>
      <c r="C358" s="3" t="s">
        <v>20</v>
      </c>
      <c r="D358" s="3" t="s">
        <v>755</v>
      </c>
      <c r="E358" s="3" t="s">
        <v>22</v>
      </c>
      <c r="F358" s="3" t="s">
        <v>1265</v>
      </c>
      <c r="G358" s="3">
        <v>5647</v>
      </c>
      <c r="H358" s="7">
        <v>44926</v>
      </c>
      <c r="I358" s="6">
        <v>45444.5</v>
      </c>
      <c r="J358" s="6">
        <v>8180.02</v>
      </c>
      <c r="K358" s="4">
        <v>8442</v>
      </c>
      <c r="L358" s="3" t="s">
        <v>1266</v>
      </c>
      <c r="M358" s="3" t="s">
        <v>1267</v>
      </c>
      <c r="N358" s="5">
        <f t="shared" si="5"/>
        <v>18.000022004863073</v>
      </c>
    </row>
    <row r="359" spans="1:14" ht="14.4" x14ac:dyDescent="0.3">
      <c r="A359" s="3" t="s">
        <v>1268</v>
      </c>
      <c r="B359" s="3" t="s">
        <v>161</v>
      </c>
      <c r="C359" s="3" t="s">
        <v>56</v>
      </c>
      <c r="D359" s="3" t="s">
        <v>57</v>
      </c>
      <c r="E359" s="3" t="s">
        <v>162</v>
      </c>
      <c r="F359" s="3" t="s">
        <v>1269</v>
      </c>
      <c r="G359" s="3" t="s">
        <v>3540</v>
      </c>
      <c r="H359" s="7">
        <v>44924</v>
      </c>
      <c r="I359" s="6">
        <v>418209</v>
      </c>
      <c r="J359" s="6">
        <v>75277.62</v>
      </c>
      <c r="K359" s="4">
        <v>29420090</v>
      </c>
      <c r="L359" s="3" t="s">
        <v>260</v>
      </c>
      <c r="M359" s="3" t="s">
        <v>104</v>
      </c>
      <c r="N359" s="5">
        <f t="shared" si="5"/>
        <v>18</v>
      </c>
    </row>
    <row r="360" spans="1:14" ht="14.4" x14ac:dyDescent="0.3">
      <c r="A360" s="3" t="s">
        <v>1270</v>
      </c>
      <c r="B360" s="3" t="s">
        <v>124</v>
      </c>
      <c r="C360" s="3" t="s">
        <v>20</v>
      </c>
      <c r="D360" s="3" t="s">
        <v>125</v>
      </c>
      <c r="E360" s="3" t="s">
        <v>22</v>
      </c>
      <c r="F360" s="3" t="s">
        <v>1271</v>
      </c>
      <c r="G360" s="3" t="s">
        <v>3541</v>
      </c>
      <c r="H360" s="7">
        <v>44922</v>
      </c>
      <c r="I360" s="6">
        <v>195520</v>
      </c>
      <c r="J360" s="6">
        <v>35193.599999999999</v>
      </c>
      <c r="K360" s="4">
        <v>48192020</v>
      </c>
      <c r="L360" s="3"/>
      <c r="M360" s="3" t="s">
        <v>107</v>
      </c>
      <c r="N360" s="5">
        <f t="shared" si="5"/>
        <v>18</v>
      </c>
    </row>
    <row r="361" spans="1:14" ht="14.4" x14ac:dyDescent="0.3">
      <c r="A361" s="3" t="s">
        <v>1272</v>
      </c>
      <c r="B361" s="3" t="s">
        <v>1273</v>
      </c>
      <c r="C361" s="3" t="s">
        <v>20</v>
      </c>
      <c r="D361" s="3" t="s">
        <v>156</v>
      </c>
      <c r="E361" s="3" t="s">
        <v>22</v>
      </c>
      <c r="F361" s="3" t="s">
        <v>1274</v>
      </c>
      <c r="G361" s="3" t="s">
        <v>3542</v>
      </c>
      <c r="H361" s="7">
        <v>44919</v>
      </c>
      <c r="I361" s="6">
        <v>49319.25</v>
      </c>
      <c r="J361" s="6">
        <v>8877.4599999999991</v>
      </c>
      <c r="K361" s="4">
        <v>4819</v>
      </c>
      <c r="L361" s="3"/>
      <c r="M361" s="3" t="s">
        <v>1275</v>
      </c>
      <c r="N361" s="5">
        <f t="shared" si="5"/>
        <v>17.999989861970729</v>
      </c>
    </row>
    <row r="362" spans="1:14" ht="14.4" x14ac:dyDescent="0.3">
      <c r="A362" s="3" t="s">
        <v>1276</v>
      </c>
      <c r="B362" s="3" t="s">
        <v>161</v>
      </c>
      <c r="C362" s="3" t="s">
        <v>56</v>
      </c>
      <c r="D362" s="3" t="s">
        <v>57</v>
      </c>
      <c r="E362" s="3" t="s">
        <v>162</v>
      </c>
      <c r="F362" s="3" t="s">
        <v>1277</v>
      </c>
      <c r="G362" s="3" t="s">
        <v>3543</v>
      </c>
      <c r="H362" s="7">
        <v>44915</v>
      </c>
      <c r="I362" s="6">
        <v>570285</v>
      </c>
      <c r="J362" s="6">
        <v>102651.3</v>
      </c>
      <c r="K362" s="4">
        <v>29419090</v>
      </c>
      <c r="L362" s="3" t="s">
        <v>1278</v>
      </c>
      <c r="M362" s="3" t="s">
        <v>675</v>
      </c>
      <c r="N362" s="5">
        <f t="shared" si="5"/>
        <v>18</v>
      </c>
    </row>
    <row r="363" spans="1:14" ht="14.4" x14ac:dyDescent="0.3">
      <c r="A363" s="3" t="s">
        <v>1279</v>
      </c>
      <c r="B363" s="3" t="s">
        <v>593</v>
      </c>
      <c r="C363" s="3" t="s">
        <v>20</v>
      </c>
      <c r="D363" s="3" t="s">
        <v>1280</v>
      </c>
      <c r="E363" s="3" t="s">
        <v>1281</v>
      </c>
      <c r="F363" s="3" t="s">
        <v>1282</v>
      </c>
      <c r="G363" s="3" t="s">
        <v>3544</v>
      </c>
      <c r="H363" s="7">
        <v>44911</v>
      </c>
      <c r="I363" s="6">
        <v>630000</v>
      </c>
      <c r="J363" s="6">
        <v>113400</v>
      </c>
      <c r="K363" s="4">
        <v>29411020</v>
      </c>
      <c r="L363" s="3" t="s">
        <v>596</v>
      </c>
      <c r="M363" s="3" t="s">
        <v>549</v>
      </c>
      <c r="N363" s="5">
        <f t="shared" si="5"/>
        <v>18</v>
      </c>
    </row>
    <row r="364" spans="1:14" ht="14.4" x14ac:dyDescent="0.3">
      <c r="A364" s="3" t="s">
        <v>1283</v>
      </c>
      <c r="B364" s="3" t="s">
        <v>1284</v>
      </c>
      <c r="C364" s="3" t="s">
        <v>1285</v>
      </c>
      <c r="D364" s="3" t="s">
        <v>1286</v>
      </c>
      <c r="E364" s="3" t="s">
        <v>22</v>
      </c>
      <c r="F364" s="3" t="s">
        <v>1287</v>
      </c>
      <c r="G364" s="3">
        <v>2542</v>
      </c>
      <c r="H364" s="7">
        <v>44910</v>
      </c>
      <c r="I364" s="6">
        <v>177200</v>
      </c>
      <c r="J364" s="6">
        <v>8860</v>
      </c>
      <c r="K364" s="4">
        <v>63014000</v>
      </c>
      <c r="L364" s="3" t="s">
        <v>1288</v>
      </c>
      <c r="M364" s="3"/>
      <c r="N364" s="5">
        <f t="shared" si="5"/>
        <v>5</v>
      </c>
    </row>
    <row r="365" spans="1:14" ht="14.4" x14ac:dyDescent="0.3">
      <c r="A365" s="3" t="s">
        <v>1289</v>
      </c>
      <c r="B365" s="3" t="s">
        <v>161</v>
      </c>
      <c r="C365" s="3" t="s">
        <v>56</v>
      </c>
      <c r="D365" s="3" t="s">
        <v>57</v>
      </c>
      <c r="E365" s="3" t="s">
        <v>162</v>
      </c>
      <c r="F365" s="3" t="s">
        <v>1290</v>
      </c>
      <c r="G365" s="3" t="s">
        <v>3545</v>
      </c>
      <c r="H365" s="7">
        <v>44909</v>
      </c>
      <c r="I365" s="6">
        <v>63031.5</v>
      </c>
      <c r="J365" s="6">
        <v>11345.68</v>
      </c>
      <c r="K365" s="4">
        <v>292212</v>
      </c>
      <c r="L365" s="3" t="s">
        <v>1291</v>
      </c>
      <c r="M365" s="3" t="s">
        <v>104</v>
      </c>
      <c r="N365" s="5">
        <f t="shared" si="5"/>
        <v>18.000015865083331</v>
      </c>
    </row>
    <row r="366" spans="1:14" ht="14.4" x14ac:dyDescent="0.3">
      <c r="A366" s="3" t="s">
        <v>1292</v>
      </c>
      <c r="B366" s="3" t="s">
        <v>43</v>
      </c>
      <c r="C366" s="3" t="s">
        <v>26</v>
      </c>
      <c r="D366" s="3" t="s">
        <v>44</v>
      </c>
      <c r="E366" s="3" t="s">
        <v>45</v>
      </c>
      <c r="F366" s="3" t="s">
        <v>1293</v>
      </c>
      <c r="G366" s="3" t="s">
        <v>3546</v>
      </c>
      <c r="H366" s="7">
        <v>44908</v>
      </c>
      <c r="I366" s="6">
        <v>116800</v>
      </c>
      <c r="J366" s="6">
        <v>21024</v>
      </c>
      <c r="K366" s="4">
        <v>29051220</v>
      </c>
      <c r="L366" s="3" t="s">
        <v>628</v>
      </c>
      <c r="M366" s="3" t="s">
        <v>961</v>
      </c>
      <c r="N366" s="5">
        <f t="shared" si="5"/>
        <v>18</v>
      </c>
    </row>
    <row r="367" spans="1:14" ht="14.4" x14ac:dyDescent="0.3">
      <c r="A367" s="3" t="s">
        <v>1294</v>
      </c>
      <c r="B367" s="3" t="s">
        <v>43</v>
      </c>
      <c r="C367" s="3" t="s">
        <v>26</v>
      </c>
      <c r="D367" s="3" t="s">
        <v>44</v>
      </c>
      <c r="E367" s="3" t="s">
        <v>45</v>
      </c>
      <c r="F367" s="3" t="s">
        <v>1295</v>
      </c>
      <c r="G367" s="3" t="s">
        <v>3547</v>
      </c>
      <c r="H367" s="7">
        <v>44907</v>
      </c>
      <c r="I367" s="6">
        <v>98040</v>
      </c>
      <c r="J367" s="6">
        <v>17647.2</v>
      </c>
      <c r="K367" s="4">
        <v>29053200</v>
      </c>
      <c r="L367" s="3" t="s">
        <v>1296</v>
      </c>
      <c r="M367" s="3" t="s">
        <v>104</v>
      </c>
      <c r="N367" s="5">
        <f t="shared" si="5"/>
        <v>18</v>
      </c>
    </row>
    <row r="368" spans="1:14" ht="14.4" x14ac:dyDescent="0.3">
      <c r="A368" s="3" t="s">
        <v>1297</v>
      </c>
      <c r="B368" s="3" t="s">
        <v>78</v>
      </c>
      <c r="C368" s="3" t="s">
        <v>26</v>
      </c>
      <c r="D368" s="3" t="s">
        <v>79</v>
      </c>
      <c r="E368" s="3" t="s">
        <v>80</v>
      </c>
      <c r="F368" s="3" t="s">
        <v>1298</v>
      </c>
      <c r="G368" s="3">
        <v>11607</v>
      </c>
      <c r="H368" s="7">
        <v>44904</v>
      </c>
      <c r="I368" s="6">
        <v>75355.95</v>
      </c>
      <c r="J368" s="6">
        <v>13564.08</v>
      </c>
      <c r="K368" s="4">
        <v>39239090</v>
      </c>
      <c r="L368" s="3" t="s">
        <v>1299</v>
      </c>
      <c r="M368" s="3" t="s">
        <v>961</v>
      </c>
      <c r="N368" s="5">
        <f t="shared" si="5"/>
        <v>18.00001194331702</v>
      </c>
    </row>
    <row r="369" spans="1:14" ht="14.4" x14ac:dyDescent="0.3">
      <c r="A369" s="3" t="s">
        <v>1300</v>
      </c>
      <c r="B369" s="3" t="s">
        <v>182</v>
      </c>
      <c r="C369" s="3" t="s">
        <v>20</v>
      </c>
      <c r="D369" s="3" t="s">
        <v>167</v>
      </c>
      <c r="E369" s="3" t="s">
        <v>22</v>
      </c>
      <c r="F369" s="3" t="s">
        <v>1301</v>
      </c>
      <c r="G369" s="3" t="s">
        <v>3548</v>
      </c>
      <c r="H369" s="7">
        <v>44901</v>
      </c>
      <c r="I369" s="6">
        <v>102500</v>
      </c>
      <c r="J369" s="6">
        <v>18450</v>
      </c>
      <c r="K369" s="4">
        <v>17021110</v>
      </c>
      <c r="L369" s="3" t="s">
        <v>1302</v>
      </c>
      <c r="M369" s="3" t="s">
        <v>59</v>
      </c>
      <c r="N369" s="5">
        <f t="shared" si="5"/>
        <v>18</v>
      </c>
    </row>
    <row r="370" spans="1:14" ht="14.4" x14ac:dyDescent="0.3">
      <c r="A370" s="3" t="s">
        <v>1303</v>
      </c>
      <c r="B370" s="3" t="s">
        <v>94</v>
      </c>
      <c r="C370" s="3" t="s">
        <v>26</v>
      </c>
      <c r="D370" s="3" t="s">
        <v>95</v>
      </c>
      <c r="E370" s="3" t="s">
        <v>22</v>
      </c>
      <c r="F370" s="3" t="s">
        <v>1304</v>
      </c>
      <c r="G370" s="3" t="s">
        <v>3549</v>
      </c>
      <c r="H370" s="7">
        <v>44898</v>
      </c>
      <c r="I370" s="6">
        <v>130243.25</v>
      </c>
      <c r="J370" s="6">
        <v>23443.78</v>
      </c>
      <c r="K370" s="4">
        <v>48192090</v>
      </c>
      <c r="L370" s="3" t="s">
        <v>97</v>
      </c>
      <c r="M370" s="3" t="s">
        <v>59</v>
      </c>
      <c r="N370" s="5">
        <f t="shared" si="5"/>
        <v>17.999996161029458</v>
      </c>
    </row>
    <row r="371" spans="1:14" ht="14.4" x14ac:dyDescent="0.3">
      <c r="A371" s="3" t="s">
        <v>1305</v>
      </c>
      <c r="B371" s="3" t="s">
        <v>94</v>
      </c>
      <c r="C371" s="3" t="s">
        <v>26</v>
      </c>
      <c r="D371" s="3" t="s">
        <v>95</v>
      </c>
      <c r="E371" s="3" t="s">
        <v>22</v>
      </c>
      <c r="F371" s="3" t="s">
        <v>1306</v>
      </c>
      <c r="G371" s="3" t="s">
        <v>3550</v>
      </c>
      <c r="H371" s="7">
        <v>44897</v>
      </c>
      <c r="I371" s="6">
        <v>107260</v>
      </c>
      <c r="J371" s="6">
        <v>19306.8</v>
      </c>
      <c r="K371" s="4">
        <v>48192090</v>
      </c>
      <c r="L371" s="3" t="s">
        <v>97</v>
      </c>
      <c r="M371" s="3" t="s">
        <v>36</v>
      </c>
      <c r="N371" s="5">
        <f t="shared" si="5"/>
        <v>18</v>
      </c>
    </row>
    <row r="372" spans="1:14" ht="14.4" x14ac:dyDescent="0.3">
      <c r="A372" s="3" t="s">
        <v>1307</v>
      </c>
      <c r="B372" s="3" t="s">
        <v>150</v>
      </c>
      <c r="C372" s="3" t="s">
        <v>134</v>
      </c>
      <c r="D372" s="3" t="s">
        <v>151</v>
      </c>
      <c r="E372" s="3" t="s">
        <v>22</v>
      </c>
      <c r="F372" s="3" t="s">
        <v>1308</v>
      </c>
      <c r="G372" s="3" t="s">
        <v>3551</v>
      </c>
      <c r="H372" s="7">
        <v>44897</v>
      </c>
      <c r="I372" s="6">
        <v>29000</v>
      </c>
      <c r="J372" s="6">
        <v>5220</v>
      </c>
      <c r="K372" s="4">
        <v>39233090</v>
      </c>
      <c r="L372" s="3" t="s">
        <v>153</v>
      </c>
      <c r="M372" s="3" t="s">
        <v>516</v>
      </c>
      <c r="N372" s="5">
        <f t="shared" si="5"/>
        <v>18</v>
      </c>
    </row>
    <row r="373" spans="1:14" ht="14.4" x14ac:dyDescent="0.3">
      <c r="A373" s="3" t="s">
        <v>1309</v>
      </c>
      <c r="B373" s="3" t="s">
        <v>94</v>
      </c>
      <c r="C373" s="3" t="s">
        <v>26</v>
      </c>
      <c r="D373" s="3" t="s">
        <v>95</v>
      </c>
      <c r="E373" s="3" t="s">
        <v>22</v>
      </c>
      <c r="F373" s="3" t="s">
        <v>1310</v>
      </c>
      <c r="G373" s="3" t="s">
        <v>3552</v>
      </c>
      <c r="H373" s="7">
        <v>44896</v>
      </c>
      <c r="I373" s="6">
        <v>33085.5</v>
      </c>
      <c r="J373" s="6">
        <v>5955.4</v>
      </c>
      <c r="K373" s="4">
        <v>48192090</v>
      </c>
      <c r="L373" s="3" t="s">
        <v>97</v>
      </c>
      <c r="M373" s="3" t="s">
        <v>107</v>
      </c>
      <c r="N373" s="5">
        <f t="shared" si="5"/>
        <v>18.000030224720799</v>
      </c>
    </row>
    <row r="374" spans="1:14" ht="14.4" x14ac:dyDescent="0.3">
      <c r="A374" s="3" t="s">
        <v>1311</v>
      </c>
      <c r="B374" s="3" t="s">
        <v>66</v>
      </c>
      <c r="C374" s="3" t="s">
        <v>67</v>
      </c>
      <c r="D374" s="3" t="s">
        <v>68</v>
      </c>
      <c r="E374" s="3" t="s">
        <v>69</v>
      </c>
      <c r="F374" s="3" t="s">
        <v>1312</v>
      </c>
      <c r="G374" s="3" t="s">
        <v>3553</v>
      </c>
      <c r="H374" s="7">
        <v>44926</v>
      </c>
      <c r="I374" s="6">
        <v>370475</v>
      </c>
      <c r="J374" s="6">
        <v>66685.5</v>
      </c>
      <c r="K374" s="4">
        <v>29372900</v>
      </c>
      <c r="L374" s="3" t="s">
        <v>71</v>
      </c>
      <c r="M374" s="3" t="s">
        <v>72</v>
      </c>
      <c r="N374" s="5">
        <f t="shared" si="5"/>
        <v>18</v>
      </c>
    </row>
    <row r="375" spans="1:14" ht="14.4" x14ac:dyDescent="0.3">
      <c r="A375" s="3" t="s">
        <v>1313</v>
      </c>
      <c r="B375" s="3" t="s">
        <v>1314</v>
      </c>
      <c r="C375" s="3" t="s">
        <v>1315</v>
      </c>
      <c r="D375" s="3" t="s">
        <v>125</v>
      </c>
      <c r="E375" s="3" t="s">
        <v>1316</v>
      </c>
      <c r="F375" s="3" t="s">
        <v>1317</v>
      </c>
      <c r="G375" s="3" t="s">
        <v>3554</v>
      </c>
      <c r="H375" s="7">
        <v>44919</v>
      </c>
      <c r="I375" s="6">
        <v>76600</v>
      </c>
      <c r="J375" s="6">
        <v>13788</v>
      </c>
      <c r="K375" s="4">
        <v>2926</v>
      </c>
      <c r="L375" s="3" t="s">
        <v>1318</v>
      </c>
      <c r="M375" s="3" t="s">
        <v>301</v>
      </c>
      <c r="N375" s="5">
        <f t="shared" si="5"/>
        <v>18</v>
      </c>
    </row>
    <row r="376" spans="1:14" ht="14.4" x14ac:dyDescent="0.3">
      <c r="A376" s="3" t="s">
        <v>1319</v>
      </c>
      <c r="B376" s="3" t="s">
        <v>161</v>
      </c>
      <c r="C376" s="3" t="s">
        <v>56</v>
      </c>
      <c r="D376" s="3" t="s">
        <v>57</v>
      </c>
      <c r="E376" s="3" t="s">
        <v>162</v>
      </c>
      <c r="F376" s="3" t="s">
        <v>1320</v>
      </c>
      <c r="G376" s="3" t="s">
        <v>3555</v>
      </c>
      <c r="H376" s="7">
        <v>44922</v>
      </c>
      <c r="I376" s="6">
        <v>45022.5</v>
      </c>
      <c r="J376" s="6">
        <v>8104.06</v>
      </c>
      <c r="K376" s="4">
        <v>29420090</v>
      </c>
      <c r="L376" s="3" t="s">
        <v>1321</v>
      </c>
      <c r="M376" s="3" t="s">
        <v>107</v>
      </c>
      <c r="N376" s="5">
        <f t="shared" si="5"/>
        <v>18.000022211116665</v>
      </c>
    </row>
    <row r="377" spans="1:14" ht="14.4" x14ac:dyDescent="0.3">
      <c r="A377" s="3" t="s">
        <v>1322</v>
      </c>
      <c r="B377" s="3" t="s">
        <v>94</v>
      </c>
      <c r="C377" s="3" t="s">
        <v>26</v>
      </c>
      <c r="D377" s="3" t="s">
        <v>95</v>
      </c>
      <c r="E377" s="3" t="s">
        <v>22</v>
      </c>
      <c r="F377" s="3" t="s">
        <v>1323</v>
      </c>
      <c r="G377" s="3" t="s">
        <v>3556</v>
      </c>
      <c r="H377" s="7">
        <v>44921</v>
      </c>
      <c r="I377" s="6">
        <v>44923.5</v>
      </c>
      <c r="J377" s="6">
        <v>8086.24</v>
      </c>
      <c r="K377" s="4">
        <v>48192090</v>
      </c>
      <c r="L377" s="3" t="s">
        <v>97</v>
      </c>
      <c r="M377" s="3" t="s">
        <v>280</v>
      </c>
      <c r="N377" s="5">
        <f t="shared" si="5"/>
        <v>18.00002226006433</v>
      </c>
    </row>
    <row r="378" spans="1:14" ht="14.4" x14ac:dyDescent="0.3">
      <c r="A378" s="3" t="s">
        <v>1324</v>
      </c>
      <c r="B378" s="3" t="s">
        <v>1325</v>
      </c>
      <c r="C378" s="3" t="s">
        <v>20</v>
      </c>
      <c r="D378" s="3" t="s">
        <v>1132</v>
      </c>
      <c r="E378" s="3" t="s">
        <v>22</v>
      </c>
      <c r="F378" s="3" t="s">
        <v>1326</v>
      </c>
      <c r="G378" s="3" t="s">
        <v>3557</v>
      </c>
      <c r="H378" s="7">
        <v>44918</v>
      </c>
      <c r="I378" s="6">
        <v>731250</v>
      </c>
      <c r="J378" s="6">
        <v>131625</v>
      </c>
      <c r="K378" s="4">
        <v>29222933</v>
      </c>
      <c r="L378" s="3" t="s">
        <v>1134</v>
      </c>
      <c r="M378" s="3" t="s">
        <v>36</v>
      </c>
      <c r="N378" s="5">
        <f t="shared" si="5"/>
        <v>18</v>
      </c>
    </row>
    <row r="379" spans="1:14" ht="14.4" x14ac:dyDescent="0.3">
      <c r="A379" s="3" t="s">
        <v>1327</v>
      </c>
      <c r="B379" s="3" t="s">
        <v>182</v>
      </c>
      <c r="C379" s="3" t="s">
        <v>20</v>
      </c>
      <c r="D379" s="3" t="s">
        <v>167</v>
      </c>
      <c r="E379" s="3" t="s">
        <v>22</v>
      </c>
      <c r="F379" s="3" t="s">
        <v>1328</v>
      </c>
      <c r="G379" s="3" t="s">
        <v>3558</v>
      </c>
      <c r="H379" s="7">
        <v>44915</v>
      </c>
      <c r="I379" s="6">
        <v>69000</v>
      </c>
      <c r="J379" s="6">
        <v>12420</v>
      </c>
      <c r="K379" s="4">
        <v>39123919</v>
      </c>
      <c r="L379" s="3" t="s">
        <v>474</v>
      </c>
      <c r="M379" s="3" t="s">
        <v>675</v>
      </c>
      <c r="N379" s="5">
        <f t="shared" si="5"/>
        <v>18</v>
      </c>
    </row>
    <row r="380" spans="1:14" ht="14.4" x14ac:dyDescent="0.3">
      <c r="A380" s="3" t="s">
        <v>1329</v>
      </c>
      <c r="B380" s="3" t="s">
        <v>518</v>
      </c>
      <c r="C380" s="3" t="s">
        <v>134</v>
      </c>
      <c r="D380" s="3" t="s">
        <v>519</v>
      </c>
      <c r="E380" s="3" t="s">
        <v>188</v>
      </c>
      <c r="F380" s="3" t="s">
        <v>1330</v>
      </c>
      <c r="G380" s="3" t="s">
        <v>3559</v>
      </c>
      <c r="H380" s="7">
        <v>44911</v>
      </c>
      <c r="I380" s="6">
        <v>1845000</v>
      </c>
      <c r="J380" s="6">
        <v>332100</v>
      </c>
      <c r="K380" s="4">
        <v>29411030</v>
      </c>
      <c r="L380" s="3" t="s">
        <v>1331</v>
      </c>
      <c r="M380" s="3" t="s">
        <v>516</v>
      </c>
      <c r="N380" s="5">
        <f t="shared" si="5"/>
        <v>18</v>
      </c>
    </row>
    <row r="381" spans="1:14" ht="14.4" x14ac:dyDescent="0.3">
      <c r="A381" s="3" t="s">
        <v>1332</v>
      </c>
      <c r="B381" s="3" t="s">
        <v>94</v>
      </c>
      <c r="C381" s="3" t="s">
        <v>26</v>
      </c>
      <c r="D381" s="3" t="s">
        <v>95</v>
      </c>
      <c r="E381" s="3" t="s">
        <v>22</v>
      </c>
      <c r="F381" s="3" t="s">
        <v>1333</v>
      </c>
      <c r="G381" s="3" t="s">
        <v>3560</v>
      </c>
      <c r="H381" s="7">
        <v>44911</v>
      </c>
      <c r="I381" s="6">
        <v>28307.5</v>
      </c>
      <c r="J381" s="6">
        <v>5095.3599999999997</v>
      </c>
      <c r="K381" s="4">
        <v>48192090</v>
      </c>
      <c r="L381" s="3" t="s">
        <v>97</v>
      </c>
      <c r="M381" s="3" t="s">
        <v>92</v>
      </c>
      <c r="N381" s="5">
        <f t="shared" si="5"/>
        <v>18.000035326326945</v>
      </c>
    </row>
    <row r="382" spans="1:14" ht="14.4" x14ac:dyDescent="0.3">
      <c r="A382" s="3" t="s">
        <v>1334</v>
      </c>
      <c r="B382" s="3" t="s">
        <v>1284</v>
      </c>
      <c r="C382" s="3" t="s">
        <v>20</v>
      </c>
      <c r="D382" s="3" t="s">
        <v>1335</v>
      </c>
      <c r="E382" s="3" t="s">
        <v>22</v>
      </c>
      <c r="F382" s="3" t="s">
        <v>1336</v>
      </c>
      <c r="G382" s="3">
        <v>2541</v>
      </c>
      <c r="H382" s="7">
        <v>44909</v>
      </c>
      <c r="I382" s="6">
        <v>177552</v>
      </c>
      <c r="J382" s="6">
        <v>8877.6</v>
      </c>
      <c r="K382" s="4">
        <v>63014000</v>
      </c>
      <c r="L382" s="3" t="s">
        <v>1288</v>
      </c>
      <c r="M382" s="3"/>
      <c r="N382" s="5">
        <f t="shared" si="5"/>
        <v>5</v>
      </c>
    </row>
    <row r="383" spans="1:14" ht="14.4" x14ac:dyDescent="0.3">
      <c r="A383" s="3" t="s">
        <v>1337</v>
      </c>
      <c r="B383" s="3" t="s">
        <v>1284</v>
      </c>
      <c r="C383" s="3" t="s">
        <v>20</v>
      </c>
      <c r="D383" s="3" t="s">
        <v>1335</v>
      </c>
      <c r="E383" s="3" t="s">
        <v>22</v>
      </c>
      <c r="F383" s="3" t="s">
        <v>1338</v>
      </c>
      <c r="G383" s="3">
        <v>2540</v>
      </c>
      <c r="H383" s="7">
        <v>44909</v>
      </c>
      <c r="I383" s="6">
        <v>177398</v>
      </c>
      <c r="J383" s="6">
        <v>8869.9</v>
      </c>
      <c r="K383" s="4">
        <v>63014000</v>
      </c>
      <c r="L383" s="3" t="s">
        <v>1288</v>
      </c>
      <c r="M383" s="3"/>
      <c r="N383" s="5">
        <f t="shared" si="5"/>
        <v>5</v>
      </c>
    </row>
    <row r="384" spans="1:14" ht="14.4" x14ac:dyDescent="0.3">
      <c r="A384" s="3" t="s">
        <v>1339</v>
      </c>
      <c r="B384" s="3" t="s">
        <v>25</v>
      </c>
      <c r="C384" s="3" t="s">
        <v>26</v>
      </c>
      <c r="D384" s="3" t="s">
        <v>27</v>
      </c>
      <c r="E384" s="3" t="s">
        <v>28</v>
      </c>
      <c r="F384" s="3" t="s">
        <v>1340</v>
      </c>
      <c r="G384" s="3" t="s">
        <v>3561</v>
      </c>
      <c r="H384" s="7">
        <v>44910</v>
      </c>
      <c r="I384" s="6">
        <v>125999.5</v>
      </c>
      <c r="J384" s="6">
        <v>22680</v>
      </c>
      <c r="K384" s="4">
        <v>29331990</v>
      </c>
      <c r="L384" s="3" t="s">
        <v>1341</v>
      </c>
      <c r="M384" s="3" t="s">
        <v>195</v>
      </c>
      <c r="N384" s="5">
        <f t="shared" si="5"/>
        <v>18.000071428854877</v>
      </c>
    </row>
    <row r="385" spans="1:14" ht="14.4" x14ac:dyDescent="0.3">
      <c r="A385" s="3" t="s">
        <v>1342</v>
      </c>
      <c r="B385" s="3" t="s">
        <v>182</v>
      </c>
      <c r="C385" s="3" t="s">
        <v>20</v>
      </c>
      <c r="D385" s="3" t="s">
        <v>167</v>
      </c>
      <c r="E385" s="3" t="s">
        <v>22</v>
      </c>
      <c r="F385" s="3" t="s">
        <v>1343</v>
      </c>
      <c r="G385" s="3" t="s">
        <v>3562</v>
      </c>
      <c r="H385" s="7">
        <v>44910</v>
      </c>
      <c r="I385" s="6">
        <v>123750</v>
      </c>
      <c r="J385" s="6">
        <v>22275</v>
      </c>
      <c r="K385" s="4">
        <v>39129090</v>
      </c>
      <c r="L385" s="3" t="s">
        <v>1028</v>
      </c>
      <c r="M385" s="3" t="s">
        <v>195</v>
      </c>
      <c r="N385" s="5">
        <f t="shared" si="5"/>
        <v>18</v>
      </c>
    </row>
    <row r="386" spans="1:14" ht="14.4" x14ac:dyDescent="0.3">
      <c r="A386" s="3" t="s">
        <v>1344</v>
      </c>
      <c r="B386" s="3" t="s">
        <v>94</v>
      </c>
      <c r="C386" s="3" t="s">
        <v>26</v>
      </c>
      <c r="D386" s="3" t="s">
        <v>95</v>
      </c>
      <c r="E386" s="3" t="s">
        <v>22</v>
      </c>
      <c r="F386" s="3" t="s">
        <v>1345</v>
      </c>
      <c r="G386" s="3" t="s">
        <v>3563</v>
      </c>
      <c r="H386" s="7">
        <v>44909</v>
      </c>
      <c r="I386" s="6">
        <v>42693.65</v>
      </c>
      <c r="J386" s="6">
        <v>6834.66</v>
      </c>
      <c r="K386" s="4">
        <v>48192090</v>
      </c>
      <c r="L386" s="3" t="s">
        <v>97</v>
      </c>
      <c r="M386" s="3" t="s">
        <v>104</v>
      </c>
      <c r="N386" s="5">
        <f t="shared" si="5"/>
        <v>16.008610179733989</v>
      </c>
    </row>
    <row r="387" spans="1:14" ht="14.4" x14ac:dyDescent="0.3">
      <c r="A387" s="3" t="s">
        <v>1346</v>
      </c>
      <c r="B387" s="3" t="s">
        <v>84</v>
      </c>
      <c r="C387" s="3" t="s">
        <v>20</v>
      </c>
      <c r="D387" s="3" t="s">
        <v>239</v>
      </c>
      <c r="E387" s="3" t="s">
        <v>22</v>
      </c>
      <c r="F387" s="3" t="s">
        <v>1347</v>
      </c>
      <c r="G387" s="3" t="s">
        <v>3564</v>
      </c>
      <c r="H387" s="7">
        <v>44907</v>
      </c>
      <c r="I387" s="6">
        <v>63848.65</v>
      </c>
      <c r="J387" s="6">
        <v>11492.76</v>
      </c>
      <c r="K387" s="4">
        <v>3921</v>
      </c>
      <c r="L387" s="3" t="s">
        <v>118</v>
      </c>
      <c r="M387" s="3" t="s">
        <v>436</v>
      </c>
      <c r="N387" s="5">
        <f t="shared" ref="N387:N450" si="6">J387*100/I387</f>
        <v>18.00000469861148</v>
      </c>
    </row>
    <row r="388" spans="1:14" ht="14.4" x14ac:dyDescent="0.3">
      <c r="A388" s="3" t="s">
        <v>1348</v>
      </c>
      <c r="B388" s="3" t="s">
        <v>1349</v>
      </c>
      <c r="C388" s="3" t="s">
        <v>20</v>
      </c>
      <c r="D388" s="3" t="s">
        <v>780</v>
      </c>
      <c r="E388" s="3" t="s">
        <v>22</v>
      </c>
      <c r="F388" s="3" t="s">
        <v>1350</v>
      </c>
      <c r="G388" s="3" t="s">
        <v>3565</v>
      </c>
      <c r="H388" s="7">
        <v>44905</v>
      </c>
      <c r="I388" s="6">
        <v>451500</v>
      </c>
      <c r="J388" s="6">
        <v>81270</v>
      </c>
      <c r="K388" s="4">
        <v>29419090</v>
      </c>
      <c r="L388" s="3"/>
      <c r="M388" s="3" t="s">
        <v>195</v>
      </c>
      <c r="N388" s="5">
        <f t="shared" si="6"/>
        <v>18</v>
      </c>
    </row>
    <row r="389" spans="1:14" ht="14.4" x14ac:dyDescent="0.3">
      <c r="A389" s="3" t="s">
        <v>1351</v>
      </c>
      <c r="B389" s="3" t="s">
        <v>94</v>
      </c>
      <c r="C389" s="3" t="s">
        <v>26</v>
      </c>
      <c r="D389" s="3" t="s">
        <v>95</v>
      </c>
      <c r="E389" s="3" t="s">
        <v>22</v>
      </c>
      <c r="F389" s="3" t="s">
        <v>1352</v>
      </c>
      <c r="G389" s="3" t="s">
        <v>3566</v>
      </c>
      <c r="H389" s="7">
        <v>44904</v>
      </c>
      <c r="I389" s="6">
        <v>130698.7</v>
      </c>
      <c r="J389" s="6">
        <v>23525.78</v>
      </c>
      <c r="K389" s="4">
        <v>48192090</v>
      </c>
      <c r="L389" s="3" t="s">
        <v>97</v>
      </c>
      <c r="M389" s="3" t="s">
        <v>961</v>
      </c>
      <c r="N389" s="5">
        <f t="shared" si="6"/>
        <v>18.000010711659719</v>
      </c>
    </row>
    <row r="390" spans="1:14" ht="14.4" x14ac:dyDescent="0.3">
      <c r="A390" s="3" t="s">
        <v>1353</v>
      </c>
      <c r="B390" s="3" t="s">
        <v>1354</v>
      </c>
      <c r="C390" s="3" t="s">
        <v>20</v>
      </c>
      <c r="D390" s="3" t="s">
        <v>50</v>
      </c>
      <c r="E390" s="3" t="s">
        <v>22</v>
      </c>
      <c r="F390" s="3" t="s">
        <v>1355</v>
      </c>
      <c r="G390" s="3">
        <v>547</v>
      </c>
      <c r="H390" s="7">
        <v>44902</v>
      </c>
      <c r="I390" s="6">
        <v>76000</v>
      </c>
      <c r="J390" s="6">
        <v>13680</v>
      </c>
      <c r="K390" s="4">
        <v>39129090</v>
      </c>
      <c r="L390" s="3"/>
      <c r="M390" s="3" t="s">
        <v>495</v>
      </c>
      <c r="N390" s="5">
        <f t="shared" si="6"/>
        <v>18</v>
      </c>
    </row>
    <row r="391" spans="1:14" ht="14.4" x14ac:dyDescent="0.3">
      <c r="A391" s="3" t="s">
        <v>1356</v>
      </c>
      <c r="B391" s="3" t="s">
        <v>94</v>
      </c>
      <c r="C391" s="3" t="s">
        <v>26</v>
      </c>
      <c r="D391" s="3" t="s">
        <v>95</v>
      </c>
      <c r="E391" s="3" t="s">
        <v>22</v>
      </c>
      <c r="F391" s="3" t="s">
        <v>1357</v>
      </c>
      <c r="G391" s="3" t="s">
        <v>3567</v>
      </c>
      <c r="H391" s="7">
        <v>44902</v>
      </c>
      <c r="I391" s="6">
        <v>129940</v>
      </c>
      <c r="J391" s="6">
        <v>23389.200000000001</v>
      </c>
      <c r="K391" s="4">
        <v>48192090</v>
      </c>
      <c r="L391" s="3" t="s">
        <v>97</v>
      </c>
      <c r="M391" s="3" t="s">
        <v>59</v>
      </c>
      <c r="N391" s="5">
        <f t="shared" si="6"/>
        <v>18</v>
      </c>
    </row>
    <row r="392" spans="1:14" ht="14.4" x14ac:dyDescent="0.3">
      <c r="A392" s="3" t="s">
        <v>1358</v>
      </c>
      <c r="B392" s="3" t="s">
        <v>161</v>
      </c>
      <c r="C392" s="3" t="s">
        <v>56</v>
      </c>
      <c r="D392" s="3" t="s">
        <v>57</v>
      </c>
      <c r="E392" s="3" t="s">
        <v>162</v>
      </c>
      <c r="F392" s="3" t="s">
        <v>1359</v>
      </c>
      <c r="G392" s="3" t="s">
        <v>3568</v>
      </c>
      <c r="H392" s="7">
        <v>44900</v>
      </c>
      <c r="I392" s="6">
        <v>570285</v>
      </c>
      <c r="J392" s="6">
        <v>102651.3</v>
      </c>
      <c r="K392" s="4">
        <v>29419090</v>
      </c>
      <c r="L392" s="3" t="s">
        <v>1360</v>
      </c>
      <c r="M392" s="3" t="s">
        <v>59</v>
      </c>
      <c r="N392" s="5">
        <f t="shared" si="6"/>
        <v>18</v>
      </c>
    </row>
    <row r="393" spans="1:14" ht="14.4" x14ac:dyDescent="0.3">
      <c r="A393" s="3" t="s">
        <v>1361</v>
      </c>
      <c r="B393" s="3" t="s">
        <v>202</v>
      </c>
      <c r="C393" s="3" t="s">
        <v>134</v>
      </c>
      <c r="D393" s="3" t="s">
        <v>203</v>
      </c>
      <c r="E393" s="3" t="s">
        <v>204</v>
      </c>
      <c r="F393" s="3" t="s">
        <v>1362</v>
      </c>
      <c r="G393" s="3" t="s">
        <v>3569</v>
      </c>
      <c r="H393" s="7">
        <v>44896</v>
      </c>
      <c r="I393" s="6">
        <v>961139.4</v>
      </c>
      <c r="J393" s="6">
        <v>173005.09</v>
      </c>
      <c r="K393" s="4">
        <v>76071994</v>
      </c>
      <c r="L393" s="3" t="s">
        <v>206</v>
      </c>
      <c r="M393" s="3"/>
      <c r="N393" s="5">
        <f t="shared" si="6"/>
        <v>17.999999791913638</v>
      </c>
    </row>
    <row r="394" spans="1:14" ht="14.4" x14ac:dyDescent="0.3">
      <c r="A394" s="3" t="s">
        <v>1363</v>
      </c>
      <c r="B394" s="3" t="s">
        <v>178</v>
      </c>
      <c r="C394" s="3" t="s">
        <v>20</v>
      </c>
      <c r="D394" s="3" t="s">
        <v>50</v>
      </c>
      <c r="E394" s="3" t="s">
        <v>22</v>
      </c>
      <c r="F394" s="3" t="s">
        <v>1364</v>
      </c>
      <c r="G394" s="3" t="s">
        <v>3570</v>
      </c>
      <c r="H394" s="7">
        <v>44925</v>
      </c>
      <c r="I394" s="6">
        <v>55845.9</v>
      </c>
      <c r="J394" s="6">
        <v>10052.26</v>
      </c>
      <c r="K394" s="4">
        <v>76071995</v>
      </c>
      <c r="L394" s="3" t="s">
        <v>180</v>
      </c>
      <c r="M394" s="3" t="s">
        <v>675</v>
      </c>
      <c r="N394" s="5">
        <f t="shared" si="6"/>
        <v>17.999996418716503</v>
      </c>
    </row>
    <row r="395" spans="1:14" ht="14.4" x14ac:dyDescent="0.3">
      <c r="A395" s="3" t="s">
        <v>1365</v>
      </c>
      <c r="B395" s="3" t="s">
        <v>409</v>
      </c>
      <c r="C395" s="3" t="s">
        <v>20</v>
      </c>
      <c r="D395" s="3" t="s">
        <v>410</v>
      </c>
      <c r="E395" s="3" t="s">
        <v>22</v>
      </c>
      <c r="F395" s="3" t="s">
        <v>1366</v>
      </c>
      <c r="G395" s="3">
        <v>1359</v>
      </c>
      <c r="H395" s="7">
        <v>44924</v>
      </c>
      <c r="I395" s="6">
        <v>42500</v>
      </c>
      <c r="J395" s="6">
        <v>7650</v>
      </c>
      <c r="K395" s="4">
        <v>32050000</v>
      </c>
      <c r="L395" s="3" t="s">
        <v>412</v>
      </c>
      <c r="M395" s="3" t="s">
        <v>1367</v>
      </c>
      <c r="N395" s="5">
        <f t="shared" si="6"/>
        <v>18</v>
      </c>
    </row>
    <row r="396" spans="1:14" ht="14.4" x14ac:dyDescent="0.3">
      <c r="A396" s="3" t="s">
        <v>1368</v>
      </c>
      <c r="B396" s="3" t="s">
        <v>84</v>
      </c>
      <c r="C396" s="3" t="s">
        <v>20</v>
      </c>
      <c r="D396" s="3" t="s">
        <v>239</v>
      </c>
      <c r="E396" s="3" t="s">
        <v>22</v>
      </c>
      <c r="F396" s="3" t="s">
        <v>1369</v>
      </c>
      <c r="G396" s="3" t="s">
        <v>3571</v>
      </c>
      <c r="H396" s="7">
        <v>44922</v>
      </c>
      <c r="I396" s="6">
        <v>12350</v>
      </c>
      <c r="J396" s="6">
        <v>2223</v>
      </c>
      <c r="K396" s="4">
        <v>3921</v>
      </c>
      <c r="L396" s="3" t="s">
        <v>118</v>
      </c>
      <c r="M396" s="3" t="s">
        <v>1370</v>
      </c>
      <c r="N396" s="5">
        <f t="shared" si="6"/>
        <v>18</v>
      </c>
    </row>
    <row r="397" spans="1:14" ht="14.4" x14ac:dyDescent="0.3">
      <c r="A397" s="3" t="s">
        <v>1371</v>
      </c>
      <c r="B397" s="3" t="s">
        <v>202</v>
      </c>
      <c r="C397" s="3" t="s">
        <v>134</v>
      </c>
      <c r="D397" s="3" t="s">
        <v>203</v>
      </c>
      <c r="E397" s="3" t="s">
        <v>204</v>
      </c>
      <c r="F397" s="3" t="s">
        <v>1372</v>
      </c>
      <c r="G397" s="3" t="s">
        <v>3572</v>
      </c>
      <c r="H397" s="7">
        <v>44921</v>
      </c>
      <c r="I397" s="6">
        <v>864618.3</v>
      </c>
      <c r="J397" s="6">
        <v>155631.29</v>
      </c>
      <c r="K397" s="4">
        <v>76071994</v>
      </c>
      <c r="L397" s="3" t="s">
        <v>206</v>
      </c>
      <c r="M397" s="3"/>
      <c r="N397" s="5">
        <f t="shared" si="6"/>
        <v>17.999999537368108</v>
      </c>
    </row>
    <row r="398" spans="1:14" ht="14.4" x14ac:dyDescent="0.3">
      <c r="A398" s="3" t="s">
        <v>1373</v>
      </c>
      <c r="B398" s="3" t="s">
        <v>49</v>
      </c>
      <c r="C398" s="3" t="s">
        <v>20</v>
      </c>
      <c r="D398" s="3" t="s">
        <v>50</v>
      </c>
      <c r="E398" s="3" t="s">
        <v>22</v>
      </c>
      <c r="F398" s="3" t="s">
        <v>1374</v>
      </c>
      <c r="G398" s="3" t="s">
        <v>3573</v>
      </c>
      <c r="H398" s="7">
        <v>44919</v>
      </c>
      <c r="I398" s="6">
        <v>42486.25</v>
      </c>
      <c r="J398" s="6">
        <v>7647.52</v>
      </c>
      <c r="K398" s="4">
        <v>48192020</v>
      </c>
      <c r="L398" s="3" t="s">
        <v>52</v>
      </c>
      <c r="M398" s="3" t="s">
        <v>467</v>
      </c>
      <c r="N398" s="5">
        <f t="shared" si="6"/>
        <v>17.999988231486657</v>
      </c>
    </row>
    <row r="399" spans="1:14" ht="14.4" x14ac:dyDescent="0.3">
      <c r="A399" s="3" t="s">
        <v>1375</v>
      </c>
      <c r="B399" s="3" t="s">
        <v>94</v>
      </c>
      <c r="C399" s="3" t="s">
        <v>26</v>
      </c>
      <c r="D399" s="3" t="s">
        <v>95</v>
      </c>
      <c r="E399" s="3" t="s">
        <v>22</v>
      </c>
      <c r="F399" s="3" t="s">
        <v>1376</v>
      </c>
      <c r="G399" s="3" t="s">
        <v>3574</v>
      </c>
      <c r="H399" s="7">
        <v>44917</v>
      </c>
      <c r="I399" s="6">
        <v>52470</v>
      </c>
      <c r="J399" s="6">
        <v>9444.6</v>
      </c>
      <c r="K399" s="4">
        <v>48192090</v>
      </c>
      <c r="L399" s="3" t="s">
        <v>97</v>
      </c>
      <c r="M399" s="3" t="s">
        <v>675</v>
      </c>
      <c r="N399" s="5">
        <f t="shared" si="6"/>
        <v>18</v>
      </c>
    </row>
    <row r="400" spans="1:14" ht="14.4" x14ac:dyDescent="0.3">
      <c r="A400" s="3" t="s">
        <v>1377</v>
      </c>
      <c r="B400" s="3" t="s">
        <v>161</v>
      </c>
      <c r="C400" s="3" t="s">
        <v>56</v>
      </c>
      <c r="D400" s="3" t="s">
        <v>57</v>
      </c>
      <c r="E400" s="3" t="s">
        <v>162</v>
      </c>
      <c r="F400" s="3" t="s">
        <v>1378</v>
      </c>
      <c r="G400" s="3" t="s">
        <v>3575</v>
      </c>
      <c r="H400" s="7">
        <v>44916</v>
      </c>
      <c r="I400" s="6">
        <v>483741.75</v>
      </c>
      <c r="J400" s="6">
        <v>87073.52</v>
      </c>
      <c r="K400" s="4">
        <v>29420090</v>
      </c>
      <c r="L400" s="3" t="s">
        <v>1379</v>
      </c>
      <c r="M400" s="3" t="s">
        <v>195</v>
      </c>
      <c r="N400" s="5">
        <f t="shared" si="6"/>
        <v>18.000001033609358</v>
      </c>
    </row>
    <row r="401" spans="1:14" ht="14.4" x14ac:dyDescent="0.3">
      <c r="A401" s="3" t="s">
        <v>1380</v>
      </c>
      <c r="B401" s="3" t="s">
        <v>186</v>
      </c>
      <c r="C401" s="3" t="s">
        <v>187</v>
      </c>
      <c r="D401" s="3" t="s">
        <v>39</v>
      </c>
      <c r="E401" s="3" t="s">
        <v>188</v>
      </c>
      <c r="F401" s="3" t="s">
        <v>1381</v>
      </c>
      <c r="G401" s="3" t="s">
        <v>3576</v>
      </c>
      <c r="H401" s="7">
        <v>44914</v>
      </c>
      <c r="I401" s="6">
        <v>55668.480000000003</v>
      </c>
      <c r="J401" s="6">
        <v>10020.32</v>
      </c>
      <c r="K401" s="4">
        <v>39233090</v>
      </c>
      <c r="L401" s="3" t="s">
        <v>1382</v>
      </c>
      <c r="M401" s="3" t="s">
        <v>195</v>
      </c>
      <c r="N401" s="5">
        <f t="shared" si="6"/>
        <v>17.999988503368513</v>
      </c>
    </row>
    <row r="402" spans="1:14" ht="14.4" x14ac:dyDescent="0.3">
      <c r="A402" s="3" t="s">
        <v>1383</v>
      </c>
      <c r="B402" s="3" t="s">
        <v>61</v>
      </c>
      <c r="C402" s="3" t="s">
        <v>62</v>
      </c>
      <c r="D402" s="3" t="s">
        <v>57</v>
      </c>
      <c r="E402" s="3" t="s">
        <v>22</v>
      </c>
      <c r="F402" s="3" t="s">
        <v>1384</v>
      </c>
      <c r="G402" s="3">
        <v>1097</v>
      </c>
      <c r="H402" s="7">
        <v>44911</v>
      </c>
      <c r="I402" s="6">
        <v>77398.45</v>
      </c>
      <c r="J402" s="6">
        <v>13931.72</v>
      </c>
      <c r="K402" s="4">
        <v>39219023</v>
      </c>
      <c r="L402" s="3" t="s">
        <v>64</v>
      </c>
      <c r="M402" s="3" t="s">
        <v>92</v>
      </c>
      <c r="N402" s="5">
        <f t="shared" si="6"/>
        <v>17.999998707984464</v>
      </c>
    </row>
    <row r="403" spans="1:14" ht="14.4" x14ac:dyDescent="0.3">
      <c r="A403" s="3" t="s">
        <v>1385</v>
      </c>
      <c r="B403" s="3" t="s">
        <v>55</v>
      </c>
      <c r="C403" s="3" t="s">
        <v>56</v>
      </c>
      <c r="D403" s="3" t="s">
        <v>57</v>
      </c>
      <c r="E403" s="3" t="s">
        <v>22</v>
      </c>
      <c r="F403" s="3" t="s">
        <v>1386</v>
      </c>
      <c r="G403" s="3" t="s">
        <v>3577</v>
      </c>
      <c r="H403" s="7">
        <v>44910</v>
      </c>
      <c r="I403" s="6">
        <v>40300</v>
      </c>
      <c r="J403" s="6">
        <v>7254</v>
      </c>
      <c r="K403" s="4">
        <v>29420090</v>
      </c>
      <c r="L403" s="3"/>
      <c r="M403" s="3" t="s">
        <v>195</v>
      </c>
      <c r="N403" s="5">
        <f t="shared" si="6"/>
        <v>18</v>
      </c>
    </row>
    <row r="404" spans="1:14" ht="14.4" x14ac:dyDescent="0.3">
      <c r="A404" s="3" t="s">
        <v>1387</v>
      </c>
      <c r="B404" s="3" t="s">
        <v>182</v>
      </c>
      <c r="C404" s="3" t="s">
        <v>20</v>
      </c>
      <c r="D404" s="3" t="s">
        <v>167</v>
      </c>
      <c r="E404" s="3" t="s">
        <v>22</v>
      </c>
      <c r="F404" s="3" t="s">
        <v>1388</v>
      </c>
      <c r="G404" s="3" t="s">
        <v>3578</v>
      </c>
      <c r="H404" s="7">
        <v>44909</v>
      </c>
      <c r="I404" s="6">
        <v>104000</v>
      </c>
      <c r="J404" s="6">
        <v>18720</v>
      </c>
      <c r="K404" s="4">
        <v>39059990</v>
      </c>
      <c r="L404" s="3" t="s">
        <v>229</v>
      </c>
      <c r="M404" s="3" t="s">
        <v>104</v>
      </c>
      <c r="N404" s="5">
        <f t="shared" si="6"/>
        <v>18</v>
      </c>
    </row>
    <row r="405" spans="1:14" ht="14.4" x14ac:dyDescent="0.3">
      <c r="A405" s="3" t="s">
        <v>1389</v>
      </c>
      <c r="B405" s="3" t="s">
        <v>585</v>
      </c>
      <c r="C405" s="3" t="s">
        <v>586</v>
      </c>
      <c r="D405" s="3" t="s">
        <v>587</v>
      </c>
      <c r="E405" s="3" t="s">
        <v>588</v>
      </c>
      <c r="F405" s="3" t="s">
        <v>1390</v>
      </c>
      <c r="G405" s="3">
        <v>1998</v>
      </c>
      <c r="H405" s="7">
        <v>44906</v>
      </c>
      <c r="I405" s="6">
        <v>280102.53000000003</v>
      </c>
      <c r="J405" s="6">
        <v>50418.46</v>
      </c>
      <c r="K405" s="4">
        <v>72163200</v>
      </c>
      <c r="L405" s="3" t="s">
        <v>590</v>
      </c>
      <c r="M405" s="3" t="s">
        <v>1391</v>
      </c>
      <c r="N405" s="5">
        <f t="shared" si="6"/>
        <v>18.000001642255782</v>
      </c>
    </row>
    <row r="406" spans="1:14" ht="14.4" x14ac:dyDescent="0.3">
      <c r="A406" s="3" t="s">
        <v>1392</v>
      </c>
      <c r="B406" s="3" t="s">
        <v>231</v>
      </c>
      <c r="C406" s="3" t="s">
        <v>134</v>
      </c>
      <c r="D406" s="3" t="s">
        <v>232</v>
      </c>
      <c r="E406" s="3" t="s">
        <v>22</v>
      </c>
      <c r="F406" s="3" t="s">
        <v>1393</v>
      </c>
      <c r="G406" s="3" t="s">
        <v>3579</v>
      </c>
      <c r="H406" s="7">
        <v>44904</v>
      </c>
      <c r="I406" s="6">
        <v>850000</v>
      </c>
      <c r="J406" s="6">
        <v>153000</v>
      </c>
      <c r="K406" s="4">
        <v>29419090</v>
      </c>
      <c r="L406" s="3" t="s">
        <v>1394</v>
      </c>
      <c r="M406" s="3" t="s">
        <v>1395</v>
      </c>
      <c r="N406" s="5">
        <f t="shared" si="6"/>
        <v>18</v>
      </c>
    </row>
    <row r="407" spans="1:14" ht="14.4" x14ac:dyDescent="0.3">
      <c r="A407" s="3" t="s">
        <v>1396</v>
      </c>
      <c r="B407" s="3" t="s">
        <v>575</v>
      </c>
      <c r="C407" s="3" t="s">
        <v>576</v>
      </c>
      <c r="D407" s="3" t="s">
        <v>577</v>
      </c>
      <c r="E407" s="3" t="s">
        <v>396</v>
      </c>
      <c r="F407" s="3" t="s">
        <v>1397</v>
      </c>
      <c r="G407" s="3" t="s">
        <v>3580</v>
      </c>
      <c r="H407" s="7">
        <v>44901</v>
      </c>
      <c r="I407" s="6">
        <v>242500</v>
      </c>
      <c r="J407" s="6">
        <v>43650</v>
      </c>
      <c r="K407" s="4">
        <v>39059990</v>
      </c>
      <c r="L407" s="3" t="s">
        <v>1398</v>
      </c>
      <c r="M407" s="3" t="s">
        <v>59</v>
      </c>
      <c r="N407" s="5">
        <f t="shared" si="6"/>
        <v>18</v>
      </c>
    </row>
    <row r="408" spans="1:14" ht="14.4" x14ac:dyDescent="0.3">
      <c r="A408" s="3" t="s">
        <v>1399</v>
      </c>
      <c r="B408" s="3" t="s">
        <v>542</v>
      </c>
      <c r="C408" s="3" t="s">
        <v>20</v>
      </c>
      <c r="D408" s="3" t="s">
        <v>543</v>
      </c>
      <c r="E408" s="3" t="s">
        <v>22</v>
      </c>
      <c r="F408" s="3" t="s">
        <v>1400</v>
      </c>
      <c r="G408" s="3">
        <v>60</v>
      </c>
      <c r="H408" s="7">
        <v>44919</v>
      </c>
      <c r="I408" s="6">
        <v>202500</v>
      </c>
      <c r="J408" s="6">
        <v>36450</v>
      </c>
      <c r="K408" s="4">
        <v>39129090</v>
      </c>
      <c r="L408" s="3"/>
      <c r="M408" s="3" t="s">
        <v>1401</v>
      </c>
      <c r="N408" s="5">
        <f t="shared" si="6"/>
        <v>18</v>
      </c>
    </row>
    <row r="409" spans="1:14" ht="14.4" x14ac:dyDescent="0.3">
      <c r="A409" s="3" t="s">
        <v>1402</v>
      </c>
      <c r="B409" s="3" t="s">
        <v>905</v>
      </c>
      <c r="C409" s="3" t="s">
        <v>672</v>
      </c>
      <c r="D409" s="3" t="s">
        <v>906</v>
      </c>
      <c r="E409" s="3" t="s">
        <v>80</v>
      </c>
      <c r="F409" s="3" t="s">
        <v>1403</v>
      </c>
      <c r="G409" s="3">
        <v>3751</v>
      </c>
      <c r="H409" s="7">
        <v>44925</v>
      </c>
      <c r="I409" s="6">
        <v>178377</v>
      </c>
      <c r="J409" s="6"/>
      <c r="K409" s="4">
        <v>39204900</v>
      </c>
      <c r="L409" s="3" t="s">
        <v>1404</v>
      </c>
      <c r="M409" s="3" t="s">
        <v>1405</v>
      </c>
      <c r="N409" s="5">
        <f t="shared" si="6"/>
        <v>0</v>
      </c>
    </row>
    <row r="410" spans="1:14" ht="14.4" x14ac:dyDescent="0.3">
      <c r="A410" s="3" t="s">
        <v>1406</v>
      </c>
      <c r="B410" s="3" t="s">
        <v>905</v>
      </c>
      <c r="C410" s="3" t="s">
        <v>672</v>
      </c>
      <c r="D410" s="3" t="s">
        <v>906</v>
      </c>
      <c r="E410" s="3" t="s">
        <v>80</v>
      </c>
      <c r="F410" s="3" t="s">
        <v>1407</v>
      </c>
      <c r="G410" s="3">
        <v>3557</v>
      </c>
      <c r="H410" s="7">
        <v>44912</v>
      </c>
      <c r="I410" s="6">
        <v>68389.2</v>
      </c>
      <c r="J410" s="6"/>
      <c r="K410" s="4">
        <v>39204900</v>
      </c>
      <c r="L410" s="3" t="s">
        <v>1408</v>
      </c>
      <c r="M410" s="3" t="s">
        <v>1409</v>
      </c>
      <c r="N410" s="5">
        <f t="shared" si="6"/>
        <v>0</v>
      </c>
    </row>
    <row r="411" spans="1:14" ht="14.4" x14ac:dyDescent="0.3">
      <c r="A411" s="3" t="s">
        <v>1410</v>
      </c>
      <c r="B411" s="3" t="s">
        <v>922</v>
      </c>
      <c r="C411" s="3" t="s">
        <v>923</v>
      </c>
      <c r="D411" s="3" t="s">
        <v>924</v>
      </c>
      <c r="E411" s="3" t="s">
        <v>69</v>
      </c>
      <c r="F411" s="3" t="s">
        <v>1411</v>
      </c>
      <c r="G411" s="3" t="s">
        <v>3581</v>
      </c>
      <c r="H411" s="7">
        <v>44922</v>
      </c>
      <c r="I411" s="6">
        <v>207000</v>
      </c>
      <c r="J411" s="6">
        <v>37260</v>
      </c>
      <c r="K411" s="4">
        <v>292421</v>
      </c>
      <c r="L411" s="3" t="s">
        <v>926</v>
      </c>
      <c r="M411" s="3" t="s">
        <v>675</v>
      </c>
      <c r="N411" s="5">
        <f t="shared" si="6"/>
        <v>18</v>
      </c>
    </row>
    <row r="412" spans="1:14" ht="14.4" x14ac:dyDescent="0.3">
      <c r="A412" s="3" t="s">
        <v>1412</v>
      </c>
      <c r="B412" s="3" t="s">
        <v>952</v>
      </c>
      <c r="C412" s="3" t="s">
        <v>20</v>
      </c>
      <c r="D412" s="3" t="s">
        <v>953</v>
      </c>
      <c r="E412" s="3" t="s">
        <v>22</v>
      </c>
      <c r="F412" s="3" t="s">
        <v>1413</v>
      </c>
      <c r="G412" s="3" t="s">
        <v>3582</v>
      </c>
      <c r="H412" s="7">
        <v>44901</v>
      </c>
      <c r="I412" s="6">
        <v>95000</v>
      </c>
      <c r="J412" s="6">
        <v>17100</v>
      </c>
      <c r="K412" s="4">
        <v>29420090</v>
      </c>
      <c r="L412" s="3" t="s">
        <v>955</v>
      </c>
      <c r="M412" s="3" t="s">
        <v>1414</v>
      </c>
      <c r="N412" s="5">
        <f t="shared" si="6"/>
        <v>18</v>
      </c>
    </row>
    <row r="413" spans="1:14" ht="14.4" x14ac:dyDescent="0.3">
      <c r="A413" s="3" t="s">
        <v>1415</v>
      </c>
      <c r="B413" s="3" t="s">
        <v>1416</v>
      </c>
      <c r="C413" s="3" t="s">
        <v>223</v>
      </c>
      <c r="D413" s="3" t="s">
        <v>1417</v>
      </c>
      <c r="E413" s="3" t="s">
        <v>285</v>
      </c>
      <c r="F413" s="3" t="s">
        <v>1418</v>
      </c>
      <c r="G413" s="3" t="s">
        <v>3583</v>
      </c>
      <c r="H413" s="7">
        <v>44914</v>
      </c>
      <c r="I413" s="6">
        <v>590000</v>
      </c>
      <c r="J413" s="6">
        <v>106200</v>
      </c>
      <c r="K413" s="4">
        <v>29419090</v>
      </c>
      <c r="L413" s="3" t="s">
        <v>1419</v>
      </c>
      <c r="M413" s="3" t="s">
        <v>675</v>
      </c>
      <c r="N413" s="5">
        <f t="shared" si="6"/>
        <v>18</v>
      </c>
    </row>
    <row r="414" spans="1:14" ht="14.4" x14ac:dyDescent="0.3">
      <c r="A414" s="3" t="s">
        <v>1420</v>
      </c>
      <c r="B414" s="3" t="s">
        <v>803</v>
      </c>
      <c r="C414" s="3" t="s">
        <v>535</v>
      </c>
      <c r="D414" s="3" t="s">
        <v>804</v>
      </c>
      <c r="E414" s="3" t="s">
        <v>378</v>
      </c>
      <c r="F414" s="3" t="s">
        <v>1421</v>
      </c>
      <c r="G414" s="3" t="s">
        <v>3584</v>
      </c>
      <c r="H414" s="7">
        <v>44921</v>
      </c>
      <c r="I414" s="6">
        <v>30800</v>
      </c>
      <c r="J414" s="6">
        <v>5544</v>
      </c>
      <c r="K414" s="4">
        <v>96020030</v>
      </c>
      <c r="L414" s="3" t="s">
        <v>1422</v>
      </c>
      <c r="M414" s="3" t="s">
        <v>32</v>
      </c>
      <c r="N414" s="5">
        <f t="shared" si="6"/>
        <v>18</v>
      </c>
    </row>
    <row r="415" spans="1:14" ht="14.4" x14ac:dyDescent="0.3">
      <c r="A415" s="3" t="s">
        <v>1423</v>
      </c>
      <c r="B415" s="3" t="s">
        <v>803</v>
      </c>
      <c r="C415" s="3" t="s">
        <v>535</v>
      </c>
      <c r="D415" s="3" t="s">
        <v>804</v>
      </c>
      <c r="E415" s="3" t="s">
        <v>378</v>
      </c>
      <c r="F415" s="3" t="s">
        <v>1424</v>
      </c>
      <c r="G415" s="3" t="s">
        <v>3585</v>
      </c>
      <c r="H415" s="7">
        <v>44911</v>
      </c>
      <c r="I415" s="6">
        <v>103200</v>
      </c>
      <c r="J415" s="6">
        <v>18576</v>
      </c>
      <c r="K415" s="4">
        <v>96020030</v>
      </c>
      <c r="L415" s="3"/>
      <c r="M415" s="3" t="s">
        <v>32</v>
      </c>
      <c r="N415" s="5">
        <f t="shared" si="6"/>
        <v>18</v>
      </c>
    </row>
    <row r="416" spans="1:14" ht="14.4" x14ac:dyDescent="0.3">
      <c r="A416" s="3" t="s">
        <v>1425</v>
      </c>
      <c r="B416" s="3" t="s">
        <v>887</v>
      </c>
      <c r="C416" s="3" t="s">
        <v>20</v>
      </c>
      <c r="D416" s="3" t="s">
        <v>799</v>
      </c>
      <c r="E416" s="3" t="s">
        <v>22</v>
      </c>
      <c r="F416" s="3" t="s">
        <v>1426</v>
      </c>
      <c r="G416" s="3" t="s">
        <v>3586</v>
      </c>
      <c r="H416" s="7">
        <v>44908</v>
      </c>
      <c r="I416" s="6">
        <v>144540</v>
      </c>
      <c r="J416" s="6">
        <v>26017.200000000001</v>
      </c>
      <c r="K416" s="4">
        <v>28112200</v>
      </c>
      <c r="L416" s="3" t="s">
        <v>889</v>
      </c>
      <c r="M416" s="3" t="s">
        <v>835</v>
      </c>
      <c r="N416" s="5">
        <f t="shared" si="6"/>
        <v>18</v>
      </c>
    </row>
    <row r="417" spans="1:14" ht="14.4" x14ac:dyDescent="0.3">
      <c r="A417" s="3" t="s">
        <v>1427</v>
      </c>
      <c r="B417" s="3" t="s">
        <v>837</v>
      </c>
      <c r="C417" s="3" t="s">
        <v>56</v>
      </c>
      <c r="D417" s="3" t="s">
        <v>838</v>
      </c>
      <c r="E417" s="3" t="s">
        <v>188</v>
      </c>
      <c r="F417" s="3" t="s">
        <v>1428</v>
      </c>
      <c r="G417" s="3" t="s">
        <v>3587</v>
      </c>
      <c r="H417" s="7">
        <v>44905</v>
      </c>
      <c r="I417" s="6">
        <v>1080540</v>
      </c>
      <c r="J417" s="6">
        <v>194497.2</v>
      </c>
      <c r="K417" s="4">
        <v>29222933</v>
      </c>
      <c r="L417" s="3" t="s">
        <v>1429</v>
      </c>
      <c r="M417" s="3" t="s">
        <v>1430</v>
      </c>
      <c r="N417" s="5">
        <f t="shared" si="6"/>
        <v>18</v>
      </c>
    </row>
    <row r="418" spans="1:14" ht="14.4" x14ac:dyDescent="0.3">
      <c r="A418" s="3" t="s">
        <v>1431</v>
      </c>
      <c r="B418" s="3" t="s">
        <v>1432</v>
      </c>
      <c r="C418" s="3" t="s">
        <v>20</v>
      </c>
      <c r="D418" s="3" t="s">
        <v>1433</v>
      </c>
      <c r="E418" s="3" t="s">
        <v>22</v>
      </c>
      <c r="F418" s="3" t="s">
        <v>1434</v>
      </c>
      <c r="G418" s="3" t="s">
        <v>3588</v>
      </c>
      <c r="H418" s="7">
        <v>44926</v>
      </c>
      <c r="I418" s="6">
        <v>365000</v>
      </c>
      <c r="J418" s="6">
        <v>65700</v>
      </c>
      <c r="K418" s="4">
        <v>29334900</v>
      </c>
      <c r="L418" s="3" t="s">
        <v>1190</v>
      </c>
      <c r="M418" s="3"/>
      <c r="N418" s="5">
        <f t="shared" si="6"/>
        <v>18</v>
      </c>
    </row>
    <row r="419" spans="1:14" ht="14.4" x14ac:dyDescent="0.3">
      <c r="A419" s="3" t="s">
        <v>1435</v>
      </c>
      <c r="B419" s="3" t="s">
        <v>837</v>
      </c>
      <c r="C419" s="3" t="s">
        <v>56</v>
      </c>
      <c r="D419" s="3" t="s">
        <v>838</v>
      </c>
      <c r="E419" s="3" t="s">
        <v>188</v>
      </c>
      <c r="F419" s="3" t="s">
        <v>1436</v>
      </c>
      <c r="G419" s="3" t="s">
        <v>3589</v>
      </c>
      <c r="H419" s="7">
        <v>44925</v>
      </c>
      <c r="I419" s="6">
        <v>778389</v>
      </c>
      <c r="J419" s="6">
        <v>140110.01999999999</v>
      </c>
      <c r="K419" s="4">
        <v>29222933</v>
      </c>
      <c r="L419" s="3" t="s">
        <v>1437</v>
      </c>
      <c r="M419" s="3" t="s">
        <v>1438</v>
      </c>
      <c r="N419" s="5">
        <f t="shared" si="6"/>
        <v>17.999999999999996</v>
      </c>
    </row>
    <row r="420" spans="1:14" ht="14.4" x14ac:dyDescent="0.3">
      <c r="A420" s="3" t="s">
        <v>1439</v>
      </c>
      <c r="B420" s="3" t="s">
        <v>1416</v>
      </c>
      <c r="C420" s="3" t="s">
        <v>223</v>
      </c>
      <c r="D420" s="3" t="s">
        <v>1417</v>
      </c>
      <c r="E420" s="3" t="s">
        <v>285</v>
      </c>
      <c r="F420" s="3" t="s">
        <v>1440</v>
      </c>
      <c r="G420" s="3" t="s">
        <v>3590</v>
      </c>
      <c r="H420" s="7">
        <v>44923</v>
      </c>
      <c r="I420" s="6">
        <v>590000</v>
      </c>
      <c r="J420" s="6">
        <v>106200</v>
      </c>
      <c r="K420" s="4">
        <v>29419090</v>
      </c>
      <c r="L420" s="3" t="s">
        <v>1419</v>
      </c>
      <c r="M420" s="3" t="s">
        <v>32</v>
      </c>
      <c r="N420" s="5">
        <f t="shared" si="6"/>
        <v>18</v>
      </c>
    </row>
    <row r="421" spans="1:14" ht="14.4" x14ac:dyDescent="0.3">
      <c r="A421" s="3" t="s">
        <v>1441</v>
      </c>
      <c r="B421" s="3" t="s">
        <v>837</v>
      </c>
      <c r="C421" s="3" t="s">
        <v>56</v>
      </c>
      <c r="D421" s="3" t="s">
        <v>838</v>
      </c>
      <c r="E421" s="3" t="s">
        <v>188</v>
      </c>
      <c r="F421" s="3" t="s">
        <v>1442</v>
      </c>
      <c r="G421" s="3" t="s">
        <v>3591</v>
      </c>
      <c r="H421" s="7">
        <v>44921</v>
      </c>
      <c r="I421" s="6">
        <v>156078</v>
      </c>
      <c r="J421" s="6">
        <v>28094.04</v>
      </c>
      <c r="K421" s="4">
        <v>29420090</v>
      </c>
      <c r="L421" s="3" t="s">
        <v>1443</v>
      </c>
      <c r="M421" s="3" t="s">
        <v>822</v>
      </c>
      <c r="N421" s="5">
        <f t="shared" si="6"/>
        <v>18</v>
      </c>
    </row>
    <row r="422" spans="1:14" ht="14.4" x14ac:dyDescent="0.3">
      <c r="A422" s="3" t="s">
        <v>1444</v>
      </c>
      <c r="B422" s="3" t="s">
        <v>837</v>
      </c>
      <c r="C422" s="3" t="s">
        <v>56</v>
      </c>
      <c r="D422" s="3" t="s">
        <v>838</v>
      </c>
      <c r="E422" s="3" t="s">
        <v>188</v>
      </c>
      <c r="F422" s="3" t="s">
        <v>1445</v>
      </c>
      <c r="G422" s="3" t="s">
        <v>3592</v>
      </c>
      <c r="H422" s="7">
        <v>44919</v>
      </c>
      <c r="I422" s="6">
        <v>181340.63</v>
      </c>
      <c r="J422" s="6">
        <v>32641.31</v>
      </c>
      <c r="K422" s="4">
        <v>29420012</v>
      </c>
      <c r="L422" s="3" t="s">
        <v>1446</v>
      </c>
      <c r="M422" s="3" t="s">
        <v>835</v>
      </c>
      <c r="N422" s="5">
        <f t="shared" si="6"/>
        <v>17.999998125075443</v>
      </c>
    </row>
    <row r="423" spans="1:14" ht="14.4" x14ac:dyDescent="0.3">
      <c r="A423" s="3" t="s">
        <v>1447</v>
      </c>
      <c r="B423" s="3" t="s">
        <v>887</v>
      </c>
      <c r="C423" s="3" t="s">
        <v>20</v>
      </c>
      <c r="D423" s="3" t="s">
        <v>799</v>
      </c>
      <c r="E423" s="3" t="s">
        <v>22</v>
      </c>
      <c r="F423" s="3" t="s">
        <v>1448</v>
      </c>
      <c r="G423" s="3" t="s">
        <v>3593</v>
      </c>
      <c r="H423" s="7">
        <v>44917</v>
      </c>
      <c r="I423" s="6">
        <v>156000</v>
      </c>
      <c r="J423" s="6">
        <v>28080</v>
      </c>
      <c r="K423" s="4">
        <v>28112200</v>
      </c>
      <c r="L423" s="3" t="s">
        <v>889</v>
      </c>
      <c r="M423" s="3" t="s">
        <v>1438</v>
      </c>
      <c r="N423" s="5">
        <f t="shared" si="6"/>
        <v>18</v>
      </c>
    </row>
    <row r="424" spans="1:14" ht="14.4" x14ac:dyDescent="0.3">
      <c r="A424" s="3" t="s">
        <v>1449</v>
      </c>
      <c r="B424" s="3" t="s">
        <v>859</v>
      </c>
      <c r="C424" s="3" t="s">
        <v>134</v>
      </c>
      <c r="D424" s="3" t="s">
        <v>860</v>
      </c>
      <c r="E424" s="3" t="s">
        <v>15</v>
      </c>
      <c r="F424" s="3" t="s">
        <v>1450</v>
      </c>
      <c r="G424" s="3" t="s">
        <v>3594</v>
      </c>
      <c r="H424" s="7">
        <v>44916</v>
      </c>
      <c r="I424" s="6">
        <v>199500</v>
      </c>
      <c r="J424" s="6">
        <v>35910</v>
      </c>
      <c r="K424" s="4">
        <v>29224990</v>
      </c>
      <c r="L424" s="3"/>
      <c r="M424" s="3" t="s">
        <v>863</v>
      </c>
      <c r="N424" s="5">
        <f t="shared" si="6"/>
        <v>18</v>
      </c>
    </row>
    <row r="425" spans="1:14" ht="14.4" x14ac:dyDescent="0.3">
      <c r="A425" s="3" t="s">
        <v>1451</v>
      </c>
      <c r="B425" s="3" t="s">
        <v>810</v>
      </c>
      <c r="C425" s="3" t="s">
        <v>20</v>
      </c>
      <c r="D425" s="3" t="s">
        <v>843</v>
      </c>
      <c r="E425" s="3" t="s">
        <v>22</v>
      </c>
      <c r="F425" s="3" t="s">
        <v>1452</v>
      </c>
      <c r="G425" s="3" t="s">
        <v>3595</v>
      </c>
      <c r="H425" s="7">
        <v>44912</v>
      </c>
      <c r="I425" s="6">
        <v>109806</v>
      </c>
      <c r="J425" s="6">
        <v>0</v>
      </c>
      <c r="K425" s="4">
        <v>4819</v>
      </c>
      <c r="L425" s="3" t="s">
        <v>845</v>
      </c>
      <c r="M425" s="3" t="s">
        <v>280</v>
      </c>
      <c r="N425" s="5">
        <f t="shared" si="6"/>
        <v>0</v>
      </c>
    </row>
    <row r="426" spans="1:14" ht="14.4" x14ac:dyDescent="0.3">
      <c r="A426" s="3" t="s">
        <v>1453</v>
      </c>
      <c r="B426" s="3" t="s">
        <v>803</v>
      </c>
      <c r="C426" s="3" t="s">
        <v>535</v>
      </c>
      <c r="D426" s="3" t="s">
        <v>804</v>
      </c>
      <c r="E426" s="3" t="s">
        <v>378</v>
      </c>
      <c r="F426" s="3" t="s">
        <v>1454</v>
      </c>
      <c r="G426" s="3" t="s">
        <v>3596</v>
      </c>
      <c r="H426" s="7">
        <v>44908</v>
      </c>
      <c r="I426" s="6">
        <v>108000</v>
      </c>
      <c r="J426" s="6">
        <v>19440</v>
      </c>
      <c r="K426" s="4">
        <v>96020030</v>
      </c>
      <c r="L426" s="3"/>
      <c r="M426" s="3" t="s">
        <v>835</v>
      </c>
      <c r="N426" s="5">
        <f t="shared" si="6"/>
        <v>18</v>
      </c>
    </row>
    <row r="427" spans="1:14" ht="14.4" x14ac:dyDescent="0.3">
      <c r="A427" s="3" t="s">
        <v>1455</v>
      </c>
      <c r="B427" s="3" t="s">
        <v>810</v>
      </c>
      <c r="C427" s="3" t="s">
        <v>20</v>
      </c>
      <c r="D427" s="3" t="s">
        <v>843</v>
      </c>
      <c r="E427" s="3" t="s">
        <v>22</v>
      </c>
      <c r="F427" s="3" t="s">
        <v>1456</v>
      </c>
      <c r="G427" s="3" t="s">
        <v>3597</v>
      </c>
      <c r="H427" s="7">
        <v>44905</v>
      </c>
      <c r="I427" s="6">
        <v>64979</v>
      </c>
      <c r="J427" s="6">
        <v>0</v>
      </c>
      <c r="K427" s="4">
        <v>4819</v>
      </c>
      <c r="L427" s="3" t="s">
        <v>845</v>
      </c>
      <c r="M427" s="3" t="s">
        <v>32</v>
      </c>
      <c r="N427" s="5">
        <f t="shared" si="6"/>
        <v>0</v>
      </c>
    </row>
    <row r="428" spans="1:14" ht="14.4" x14ac:dyDescent="0.3">
      <c r="A428" s="3" t="s">
        <v>1457</v>
      </c>
      <c r="B428" s="3" t="s">
        <v>819</v>
      </c>
      <c r="C428" s="3" t="s">
        <v>20</v>
      </c>
      <c r="D428" s="3" t="s">
        <v>820</v>
      </c>
      <c r="E428" s="3" t="s">
        <v>22</v>
      </c>
      <c r="F428" s="3" t="s">
        <v>1458</v>
      </c>
      <c r="G428" s="3" t="s">
        <v>3598</v>
      </c>
      <c r="H428" s="7">
        <v>44904</v>
      </c>
      <c r="I428" s="6">
        <v>571070.5</v>
      </c>
      <c r="J428" s="6">
        <v>102792.69</v>
      </c>
      <c r="K428" s="4">
        <v>29420090</v>
      </c>
      <c r="L428" s="3"/>
      <c r="M428" s="3" t="s">
        <v>36</v>
      </c>
      <c r="N428" s="5">
        <f t="shared" si="6"/>
        <v>18</v>
      </c>
    </row>
    <row r="429" spans="1:14" ht="14.4" x14ac:dyDescent="0.3">
      <c r="A429" s="3" t="s">
        <v>1459</v>
      </c>
      <c r="B429" s="3" t="s">
        <v>815</v>
      </c>
      <c r="C429" s="3" t="s">
        <v>20</v>
      </c>
      <c r="D429" s="3" t="s">
        <v>816</v>
      </c>
      <c r="E429" s="3" t="s">
        <v>22</v>
      </c>
      <c r="F429" s="3" t="s">
        <v>1460</v>
      </c>
      <c r="G429" s="3" t="s">
        <v>3599</v>
      </c>
      <c r="H429" s="7">
        <v>44902</v>
      </c>
      <c r="I429" s="6">
        <v>109101</v>
      </c>
      <c r="J429" s="6">
        <v>19638.18</v>
      </c>
      <c r="K429" s="4">
        <v>4819</v>
      </c>
      <c r="L429" s="3"/>
      <c r="M429" s="3" t="s">
        <v>98</v>
      </c>
      <c r="N429" s="5">
        <f t="shared" si="6"/>
        <v>18</v>
      </c>
    </row>
    <row r="430" spans="1:14" ht="14.4" x14ac:dyDescent="0.3">
      <c r="A430" s="3" t="s">
        <v>1461</v>
      </c>
      <c r="B430" s="3" t="s">
        <v>815</v>
      </c>
      <c r="C430" s="3" t="s">
        <v>20</v>
      </c>
      <c r="D430" s="3" t="s">
        <v>816</v>
      </c>
      <c r="E430" s="3" t="s">
        <v>22</v>
      </c>
      <c r="F430" s="3" t="s">
        <v>1462</v>
      </c>
      <c r="G430" s="3" t="s">
        <v>3600</v>
      </c>
      <c r="H430" s="7">
        <v>44898</v>
      </c>
      <c r="I430" s="6">
        <v>63122.5</v>
      </c>
      <c r="J430" s="6">
        <v>11362.05</v>
      </c>
      <c r="K430" s="4">
        <v>4819</v>
      </c>
      <c r="L430" s="3"/>
      <c r="M430" s="3" t="s">
        <v>516</v>
      </c>
      <c r="N430" s="5">
        <f t="shared" si="6"/>
        <v>18</v>
      </c>
    </row>
    <row r="431" spans="1:14" ht="14.4" x14ac:dyDescent="0.3">
      <c r="A431" s="3" t="s">
        <v>1463</v>
      </c>
      <c r="B431" s="3" t="s">
        <v>810</v>
      </c>
      <c r="C431" s="3" t="s">
        <v>20</v>
      </c>
      <c r="D431" s="3" t="s">
        <v>843</v>
      </c>
      <c r="E431" s="3" t="s">
        <v>22</v>
      </c>
      <c r="F431" s="3" t="s">
        <v>1464</v>
      </c>
      <c r="G431" s="3" t="s">
        <v>3601</v>
      </c>
      <c r="H431" s="7">
        <v>44895</v>
      </c>
      <c r="I431" s="6">
        <v>95676</v>
      </c>
      <c r="J431" s="6">
        <v>0</v>
      </c>
      <c r="K431" s="4">
        <v>4819</v>
      </c>
      <c r="L431" s="3" t="s">
        <v>845</v>
      </c>
      <c r="M431" s="3" t="s">
        <v>98</v>
      </c>
      <c r="N431" s="5">
        <f t="shared" si="6"/>
        <v>0</v>
      </c>
    </row>
    <row r="432" spans="1:14" ht="14.4" x14ac:dyDescent="0.3">
      <c r="A432" s="3" t="s">
        <v>1465</v>
      </c>
      <c r="B432" s="3" t="s">
        <v>829</v>
      </c>
      <c r="C432" s="3" t="s">
        <v>56</v>
      </c>
      <c r="D432" s="3" t="s">
        <v>830</v>
      </c>
      <c r="E432" s="3" t="s">
        <v>831</v>
      </c>
      <c r="F432" s="3" t="s">
        <v>1466</v>
      </c>
      <c r="G432" s="3">
        <v>578</v>
      </c>
      <c r="H432" s="7">
        <v>44947</v>
      </c>
      <c r="I432" s="6">
        <v>19219.55</v>
      </c>
      <c r="J432" s="6">
        <v>3459.52</v>
      </c>
      <c r="K432" s="4">
        <v>76071995</v>
      </c>
      <c r="L432" s="3"/>
      <c r="M432" s="3" t="s">
        <v>280</v>
      </c>
      <c r="N432" s="5">
        <f t="shared" si="6"/>
        <v>18.000005203035453</v>
      </c>
    </row>
    <row r="433" spans="1:14" ht="14.4" x14ac:dyDescent="0.3">
      <c r="A433" s="3" t="s">
        <v>1467</v>
      </c>
      <c r="B433" s="3" t="s">
        <v>829</v>
      </c>
      <c r="C433" s="3" t="s">
        <v>56</v>
      </c>
      <c r="D433" s="3" t="s">
        <v>830</v>
      </c>
      <c r="E433" s="3" t="s">
        <v>831</v>
      </c>
      <c r="F433" s="3" t="s">
        <v>1468</v>
      </c>
      <c r="G433" s="3">
        <v>535</v>
      </c>
      <c r="H433" s="7">
        <v>44931</v>
      </c>
      <c r="I433" s="6">
        <v>134928.6</v>
      </c>
      <c r="J433" s="6">
        <v>24287.15</v>
      </c>
      <c r="K433" s="4">
        <v>76071995</v>
      </c>
      <c r="L433" s="3"/>
      <c r="M433" s="3" t="s">
        <v>675</v>
      </c>
      <c r="N433" s="5">
        <f t="shared" si="6"/>
        <v>18.000001482265436</v>
      </c>
    </row>
    <row r="434" spans="1:14" ht="14.4" x14ac:dyDescent="0.3">
      <c r="A434" s="3" t="s">
        <v>1469</v>
      </c>
      <c r="B434" s="3" t="s">
        <v>1470</v>
      </c>
      <c r="C434" s="3" t="s">
        <v>20</v>
      </c>
      <c r="D434" s="3" t="s">
        <v>1471</v>
      </c>
      <c r="E434" s="3" t="s">
        <v>22</v>
      </c>
      <c r="F434" s="3" t="s">
        <v>1472</v>
      </c>
      <c r="G434" s="3" t="s">
        <v>3602</v>
      </c>
      <c r="H434" s="7">
        <v>44930</v>
      </c>
      <c r="I434" s="6">
        <v>187593.75</v>
      </c>
      <c r="J434" s="6">
        <v>33766.879999999997</v>
      </c>
      <c r="K434" s="4">
        <v>29420090</v>
      </c>
      <c r="L434" s="3"/>
      <c r="M434" s="3" t="s">
        <v>1473</v>
      </c>
      <c r="N434" s="5">
        <f t="shared" si="6"/>
        <v>18.000002665333998</v>
      </c>
    </row>
    <row r="435" spans="1:14" ht="14.4" x14ac:dyDescent="0.3">
      <c r="A435" s="3" t="s">
        <v>1474</v>
      </c>
      <c r="B435" s="3" t="s">
        <v>887</v>
      </c>
      <c r="C435" s="3" t="s">
        <v>20</v>
      </c>
      <c r="D435" s="3" t="s">
        <v>799</v>
      </c>
      <c r="E435" s="3" t="s">
        <v>22</v>
      </c>
      <c r="F435" s="3" t="s">
        <v>1475</v>
      </c>
      <c r="G435" s="3" t="s">
        <v>3603</v>
      </c>
      <c r="H435" s="7">
        <v>44929</v>
      </c>
      <c r="I435" s="6">
        <v>45900</v>
      </c>
      <c r="J435" s="6">
        <v>8262</v>
      </c>
      <c r="K435" s="4">
        <v>33021010</v>
      </c>
      <c r="L435" s="3" t="s">
        <v>1476</v>
      </c>
      <c r="M435" s="3" t="s">
        <v>32</v>
      </c>
      <c r="N435" s="5">
        <f t="shared" si="6"/>
        <v>18</v>
      </c>
    </row>
    <row r="436" spans="1:14" ht="14.4" x14ac:dyDescent="0.3">
      <c r="A436" s="3" t="s">
        <v>1477</v>
      </c>
      <c r="B436" s="3" t="s">
        <v>829</v>
      </c>
      <c r="C436" s="3" t="s">
        <v>56</v>
      </c>
      <c r="D436" s="3" t="s">
        <v>830</v>
      </c>
      <c r="E436" s="3" t="s">
        <v>831</v>
      </c>
      <c r="F436" s="3" t="s">
        <v>1478</v>
      </c>
      <c r="G436" s="3">
        <v>583</v>
      </c>
      <c r="H436" s="7">
        <v>44950</v>
      </c>
      <c r="I436" s="6">
        <v>92221</v>
      </c>
      <c r="J436" s="6">
        <v>16599.78</v>
      </c>
      <c r="K436" s="4">
        <v>76071995</v>
      </c>
      <c r="L436" s="3"/>
      <c r="M436" s="3" t="s">
        <v>280</v>
      </c>
      <c r="N436" s="5">
        <f t="shared" si="6"/>
        <v>18</v>
      </c>
    </row>
    <row r="437" spans="1:14" ht="14.4" x14ac:dyDescent="0.3">
      <c r="A437" s="3" t="s">
        <v>1479</v>
      </c>
      <c r="B437" s="3" t="s">
        <v>810</v>
      </c>
      <c r="C437" s="3" t="s">
        <v>20</v>
      </c>
      <c r="D437" s="3" t="s">
        <v>843</v>
      </c>
      <c r="E437" s="3" t="s">
        <v>22</v>
      </c>
      <c r="F437" s="3" t="s">
        <v>1480</v>
      </c>
      <c r="G437" s="3" t="s">
        <v>3604</v>
      </c>
      <c r="H437" s="7">
        <v>44932</v>
      </c>
      <c r="I437" s="6">
        <v>80176</v>
      </c>
      <c r="J437" s="6">
        <v>0</v>
      </c>
      <c r="K437" s="4">
        <v>4819</v>
      </c>
      <c r="L437" s="3" t="s">
        <v>845</v>
      </c>
      <c r="M437" s="3" t="s">
        <v>32</v>
      </c>
      <c r="N437" s="5">
        <f t="shared" si="6"/>
        <v>0</v>
      </c>
    </row>
    <row r="438" spans="1:14" ht="14.4" x14ac:dyDescent="0.3">
      <c r="A438" s="3" t="s">
        <v>1481</v>
      </c>
      <c r="B438" s="3" t="s">
        <v>819</v>
      </c>
      <c r="C438" s="3" t="s">
        <v>20</v>
      </c>
      <c r="D438" s="3" t="s">
        <v>820</v>
      </c>
      <c r="E438" s="3" t="s">
        <v>22</v>
      </c>
      <c r="F438" s="3" t="s">
        <v>1482</v>
      </c>
      <c r="G438" s="3" t="s">
        <v>3605</v>
      </c>
      <c r="H438" s="7">
        <v>44932</v>
      </c>
      <c r="I438" s="6">
        <v>230730.5</v>
      </c>
      <c r="J438" s="6">
        <v>41531.49</v>
      </c>
      <c r="K438" s="4">
        <v>29420090</v>
      </c>
      <c r="L438" s="3"/>
      <c r="M438" s="3" t="s">
        <v>1483</v>
      </c>
      <c r="N438" s="5">
        <f t="shared" si="6"/>
        <v>18</v>
      </c>
    </row>
    <row r="439" spans="1:14" ht="14.4" x14ac:dyDescent="0.3">
      <c r="A439" s="3" t="s">
        <v>1484</v>
      </c>
      <c r="B439" s="3" t="s">
        <v>851</v>
      </c>
      <c r="C439" s="3" t="s">
        <v>20</v>
      </c>
      <c r="D439" s="3" t="s">
        <v>852</v>
      </c>
      <c r="E439" s="3" t="s">
        <v>22</v>
      </c>
      <c r="F439" s="3" t="s">
        <v>1485</v>
      </c>
      <c r="G439" s="3" t="s">
        <v>3606</v>
      </c>
      <c r="H439" s="7">
        <v>44931</v>
      </c>
      <c r="I439" s="6">
        <v>63335</v>
      </c>
      <c r="J439" s="6">
        <v>11400.3</v>
      </c>
      <c r="K439" s="4">
        <v>4819</v>
      </c>
      <c r="L439" s="3"/>
      <c r="M439" s="3" t="s">
        <v>675</v>
      </c>
      <c r="N439" s="5">
        <f t="shared" si="6"/>
        <v>18</v>
      </c>
    </row>
    <row r="440" spans="1:14" ht="14.4" x14ac:dyDescent="0.3">
      <c r="A440" s="3" t="s">
        <v>1486</v>
      </c>
      <c r="B440" s="3" t="s">
        <v>905</v>
      </c>
      <c r="C440" s="3" t="s">
        <v>672</v>
      </c>
      <c r="D440" s="3" t="s">
        <v>906</v>
      </c>
      <c r="E440" s="3" t="s">
        <v>80</v>
      </c>
      <c r="F440" s="3" t="s">
        <v>1487</v>
      </c>
      <c r="G440" s="3">
        <v>4121</v>
      </c>
      <c r="H440" s="7">
        <v>44951</v>
      </c>
      <c r="I440" s="6">
        <v>68693.64</v>
      </c>
      <c r="J440" s="6"/>
      <c r="K440" s="4">
        <v>39204900</v>
      </c>
      <c r="L440" s="3" t="s">
        <v>929</v>
      </c>
      <c r="M440" s="3" t="s">
        <v>1488</v>
      </c>
      <c r="N440" s="5">
        <f t="shared" si="6"/>
        <v>0</v>
      </c>
    </row>
    <row r="441" spans="1:14" ht="14.4" x14ac:dyDescent="0.3">
      <c r="A441" s="3" t="s">
        <v>1489</v>
      </c>
      <c r="B441" s="3" t="s">
        <v>1490</v>
      </c>
      <c r="C441" s="3" t="s">
        <v>20</v>
      </c>
      <c r="D441" s="3" t="s">
        <v>1491</v>
      </c>
      <c r="E441" s="3" t="s">
        <v>22</v>
      </c>
      <c r="F441" s="3" t="s">
        <v>1492</v>
      </c>
      <c r="G441" s="3" t="s">
        <v>3607</v>
      </c>
      <c r="H441" s="7">
        <v>44947</v>
      </c>
      <c r="I441" s="6">
        <v>56500</v>
      </c>
      <c r="J441" s="6">
        <v>10170</v>
      </c>
      <c r="K441" s="4">
        <v>29420090</v>
      </c>
      <c r="L441" s="3"/>
      <c r="M441" s="3"/>
      <c r="N441" s="5">
        <f t="shared" si="6"/>
        <v>18</v>
      </c>
    </row>
    <row r="442" spans="1:14" ht="14.4" x14ac:dyDescent="0.3">
      <c r="A442" s="3" t="s">
        <v>1493</v>
      </c>
      <c r="B442" s="3" t="s">
        <v>911</v>
      </c>
      <c r="C442" s="3" t="s">
        <v>912</v>
      </c>
      <c r="D442" s="3" t="s">
        <v>913</v>
      </c>
      <c r="E442" s="3" t="s">
        <v>69</v>
      </c>
      <c r="F442" s="3" t="s">
        <v>1494</v>
      </c>
      <c r="G442" s="3" t="s">
        <v>3608</v>
      </c>
      <c r="H442" s="7">
        <v>44943</v>
      </c>
      <c r="I442" s="6">
        <v>26875</v>
      </c>
      <c r="J442" s="6">
        <v>4837.5</v>
      </c>
      <c r="K442" s="4">
        <v>39061090</v>
      </c>
      <c r="L442" s="3" t="s">
        <v>1495</v>
      </c>
      <c r="M442" s="3" t="s">
        <v>1496</v>
      </c>
      <c r="N442" s="5">
        <f t="shared" si="6"/>
        <v>18</v>
      </c>
    </row>
    <row r="443" spans="1:14" ht="14.4" x14ac:dyDescent="0.3">
      <c r="A443" s="3" t="s">
        <v>1497</v>
      </c>
      <c r="B443" s="3" t="s">
        <v>932</v>
      </c>
      <c r="C443" s="3" t="s">
        <v>20</v>
      </c>
      <c r="D443" s="3" t="s">
        <v>933</v>
      </c>
      <c r="E443" s="3" t="s">
        <v>22</v>
      </c>
      <c r="F443" s="3" t="s">
        <v>1498</v>
      </c>
      <c r="G443" s="3" t="s">
        <v>3609</v>
      </c>
      <c r="H443" s="7">
        <v>44938</v>
      </c>
      <c r="I443" s="6">
        <v>101250</v>
      </c>
      <c r="J443" s="6">
        <v>18225</v>
      </c>
      <c r="K443" s="4">
        <v>32050000</v>
      </c>
      <c r="L443" s="3" t="s">
        <v>935</v>
      </c>
      <c r="M443" s="3" t="s">
        <v>1499</v>
      </c>
      <c r="N443" s="5">
        <f t="shared" si="6"/>
        <v>18</v>
      </c>
    </row>
    <row r="444" spans="1:14" ht="14.4" x14ac:dyDescent="0.3">
      <c r="A444" s="3" t="s">
        <v>1500</v>
      </c>
      <c r="B444" s="3" t="s">
        <v>1501</v>
      </c>
      <c r="C444" s="3" t="s">
        <v>134</v>
      </c>
      <c r="D444" s="3" t="s">
        <v>1502</v>
      </c>
      <c r="E444" s="3" t="s">
        <v>285</v>
      </c>
      <c r="F444" s="3" t="s">
        <v>1503</v>
      </c>
      <c r="G444" s="3" t="s">
        <v>3610</v>
      </c>
      <c r="H444" s="7">
        <v>44928</v>
      </c>
      <c r="I444" s="6">
        <v>105000</v>
      </c>
      <c r="J444" s="6">
        <v>18900</v>
      </c>
      <c r="K444" s="4">
        <v>29224990</v>
      </c>
      <c r="L444" s="3" t="s">
        <v>1504</v>
      </c>
      <c r="M444" s="3" t="s">
        <v>98</v>
      </c>
      <c r="N444" s="5">
        <f t="shared" si="6"/>
        <v>18</v>
      </c>
    </row>
    <row r="445" spans="1:14" ht="14.4" x14ac:dyDescent="0.3">
      <c r="A445" s="3" t="s">
        <v>1505</v>
      </c>
      <c r="B445" s="3" t="s">
        <v>161</v>
      </c>
      <c r="C445" s="3" t="s">
        <v>56</v>
      </c>
      <c r="D445" s="3" t="s">
        <v>57</v>
      </c>
      <c r="E445" s="3" t="s">
        <v>162</v>
      </c>
      <c r="F445" s="3" t="s">
        <v>1506</v>
      </c>
      <c r="G445" s="3" t="s">
        <v>3611</v>
      </c>
      <c r="H445" s="7">
        <v>44832</v>
      </c>
      <c r="I445" s="6">
        <v>1186593</v>
      </c>
      <c r="J445" s="6">
        <v>213586.74</v>
      </c>
      <c r="K445" s="4">
        <v>29222933</v>
      </c>
      <c r="L445" s="3" t="s">
        <v>1073</v>
      </c>
      <c r="M445" s="3" t="s">
        <v>59</v>
      </c>
      <c r="N445" s="5">
        <f t="shared" si="6"/>
        <v>18</v>
      </c>
    </row>
    <row r="446" spans="1:14" ht="14.4" x14ac:dyDescent="0.3">
      <c r="A446" s="3" t="s">
        <v>1507</v>
      </c>
      <c r="B446" s="3" t="s">
        <v>182</v>
      </c>
      <c r="C446" s="3" t="s">
        <v>20</v>
      </c>
      <c r="D446" s="3" t="s">
        <v>167</v>
      </c>
      <c r="E446" s="3" t="s">
        <v>22</v>
      </c>
      <c r="F446" s="3" t="s">
        <v>1508</v>
      </c>
      <c r="G446" s="3" t="s">
        <v>3612</v>
      </c>
      <c r="H446" s="7">
        <v>44831</v>
      </c>
      <c r="I446" s="6">
        <v>262835</v>
      </c>
      <c r="J446" s="6">
        <v>47310.3</v>
      </c>
      <c r="K446" s="4">
        <v>29053200</v>
      </c>
      <c r="L446" s="3" t="s">
        <v>1509</v>
      </c>
      <c r="M446" s="3" t="s">
        <v>961</v>
      </c>
      <c r="N446" s="5">
        <f t="shared" si="6"/>
        <v>18</v>
      </c>
    </row>
    <row r="447" spans="1:14" ht="14.4" x14ac:dyDescent="0.3">
      <c r="A447" s="3" t="s">
        <v>1510</v>
      </c>
      <c r="B447" s="3" t="s">
        <v>161</v>
      </c>
      <c r="C447" s="3" t="s">
        <v>56</v>
      </c>
      <c r="D447" s="3" t="s">
        <v>57</v>
      </c>
      <c r="E447" s="3" t="s">
        <v>162</v>
      </c>
      <c r="F447" s="3" t="s">
        <v>1511</v>
      </c>
      <c r="G447" s="3" t="s">
        <v>3613</v>
      </c>
      <c r="H447" s="7">
        <v>44831</v>
      </c>
      <c r="I447" s="6">
        <v>47523.75</v>
      </c>
      <c r="J447" s="6">
        <v>8554.2800000000007</v>
      </c>
      <c r="K447" s="4">
        <v>29420090</v>
      </c>
      <c r="L447" s="3" t="s">
        <v>1512</v>
      </c>
      <c r="M447" s="3" t="s">
        <v>961</v>
      </c>
      <c r="N447" s="5">
        <f t="shared" si="6"/>
        <v>18.000010521055263</v>
      </c>
    </row>
    <row r="448" spans="1:14" ht="14.4" x14ac:dyDescent="0.3">
      <c r="A448" s="3" t="s">
        <v>1513</v>
      </c>
      <c r="B448" s="3" t="s">
        <v>208</v>
      </c>
      <c r="C448" s="3" t="s">
        <v>209</v>
      </c>
      <c r="D448" s="3" t="s">
        <v>57</v>
      </c>
      <c r="E448" s="3" t="s">
        <v>22</v>
      </c>
      <c r="F448" s="3" t="s">
        <v>1514</v>
      </c>
      <c r="G448" s="3" t="s">
        <v>3614</v>
      </c>
      <c r="H448" s="7">
        <v>44823</v>
      </c>
      <c r="I448" s="6">
        <v>100000</v>
      </c>
      <c r="J448" s="6">
        <v>18000</v>
      </c>
      <c r="K448" s="4">
        <v>29420090</v>
      </c>
      <c r="L448" s="3" t="s">
        <v>30</v>
      </c>
      <c r="M448" s="3" t="s">
        <v>675</v>
      </c>
      <c r="N448" s="5">
        <f t="shared" si="6"/>
        <v>18</v>
      </c>
    </row>
    <row r="449" spans="1:14" ht="14.4" x14ac:dyDescent="0.3">
      <c r="A449" s="3" t="s">
        <v>1515</v>
      </c>
      <c r="B449" s="3" t="s">
        <v>1516</v>
      </c>
      <c r="C449" s="3" t="s">
        <v>26</v>
      </c>
      <c r="D449" s="3" t="s">
        <v>1517</v>
      </c>
      <c r="E449" s="3" t="s">
        <v>1518</v>
      </c>
      <c r="F449" s="3" t="s">
        <v>1519</v>
      </c>
      <c r="G449" s="3">
        <v>2210982</v>
      </c>
      <c r="H449" s="7">
        <v>44818</v>
      </c>
      <c r="I449" s="6">
        <v>282100</v>
      </c>
      <c r="J449" s="6"/>
      <c r="K449" s="4">
        <v>29419090</v>
      </c>
      <c r="L449" s="3" t="s">
        <v>1520</v>
      </c>
      <c r="M449" s="3" t="s">
        <v>1499</v>
      </c>
      <c r="N449" s="5">
        <f t="shared" si="6"/>
        <v>0</v>
      </c>
    </row>
    <row r="450" spans="1:14" ht="14.4" x14ac:dyDescent="0.3">
      <c r="A450" s="3" t="s">
        <v>1521</v>
      </c>
      <c r="B450" s="3" t="s">
        <v>84</v>
      </c>
      <c r="C450" s="3" t="s">
        <v>20</v>
      </c>
      <c r="D450" s="3" t="s">
        <v>239</v>
      </c>
      <c r="E450" s="3" t="s">
        <v>22</v>
      </c>
      <c r="F450" s="3" t="s">
        <v>1522</v>
      </c>
      <c r="G450" s="3" t="s">
        <v>3615</v>
      </c>
      <c r="H450" s="7">
        <v>44812</v>
      </c>
      <c r="I450" s="6">
        <v>15275</v>
      </c>
      <c r="J450" s="6">
        <v>2749.5</v>
      </c>
      <c r="K450" s="4">
        <v>3921</v>
      </c>
      <c r="L450" s="3" t="s">
        <v>118</v>
      </c>
      <c r="M450" s="3" t="s">
        <v>431</v>
      </c>
      <c r="N450" s="5">
        <f t="shared" si="6"/>
        <v>18</v>
      </c>
    </row>
    <row r="451" spans="1:14" ht="14.4" x14ac:dyDescent="0.3">
      <c r="A451" s="3" t="s">
        <v>1523</v>
      </c>
      <c r="B451" s="3" t="s">
        <v>423</v>
      </c>
      <c r="C451" s="3" t="s">
        <v>20</v>
      </c>
      <c r="D451" s="3" t="s">
        <v>50</v>
      </c>
      <c r="E451" s="3" t="s">
        <v>22</v>
      </c>
      <c r="F451" s="3" t="s">
        <v>1524</v>
      </c>
      <c r="G451" s="3">
        <v>785</v>
      </c>
      <c r="H451" s="7">
        <v>44833</v>
      </c>
      <c r="I451" s="6">
        <v>47175</v>
      </c>
      <c r="J451" s="6">
        <v>8491.5</v>
      </c>
      <c r="K451" s="4">
        <v>39219023</v>
      </c>
      <c r="L451" s="3" t="s">
        <v>1525</v>
      </c>
      <c r="M451" s="3" t="s">
        <v>36</v>
      </c>
      <c r="N451" s="5">
        <f t="shared" ref="N451:N514" si="7">J451*100/I451</f>
        <v>18</v>
      </c>
    </row>
    <row r="452" spans="1:14" ht="14.4" x14ac:dyDescent="0.3">
      <c r="A452" s="3" t="s">
        <v>1526</v>
      </c>
      <c r="B452" s="3" t="s">
        <v>1527</v>
      </c>
      <c r="C452" s="3" t="s">
        <v>20</v>
      </c>
      <c r="D452" s="3" t="s">
        <v>22</v>
      </c>
      <c r="E452" s="3" t="s">
        <v>22</v>
      </c>
      <c r="F452" s="3" t="s">
        <v>1528</v>
      </c>
      <c r="G452" s="3" t="s">
        <v>3616</v>
      </c>
      <c r="H452" s="7">
        <v>44833</v>
      </c>
      <c r="I452" s="6">
        <v>499728.81</v>
      </c>
      <c r="J452" s="6">
        <v>89951.18</v>
      </c>
      <c r="K452" s="4">
        <v>3924</v>
      </c>
      <c r="L452" s="3" t="s">
        <v>1529</v>
      </c>
      <c r="M452" s="3" t="s">
        <v>1530</v>
      </c>
      <c r="N452" s="5">
        <f t="shared" si="7"/>
        <v>17.999998839370498</v>
      </c>
    </row>
    <row r="453" spans="1:14" ht="14.4" x14ac:dyDescent="0.3">
      <c r="A453" s="3" t="s">
        <v>1531</v>
      </c>
      <c r="B453" s="3" t="s">
        <v>155</v>
      </c>
      <c r="C453" s="3" t="s">
        <v>20</v>
      </c>
      <c r="D453" s="3" t="s">
        <v>156</v>
      </c>
      <c r="E453" s="3" t="s">
        <v>1532</v>
      </c>
      <c r="F453" s="3" t="s">
        <v>1533</v>
      </c>
      <c r="G453" s="3" t="s">
        <v>3617</v>
      </c>
      <c r="H453" s="7">
        <v>44833</v>
      </c>
      <c r="I453" s="6">
        <v>55633</v>
      </c>
      <c r="J453" s="6">
        <v>10013.94</v>
      </c>
      <c r="K453" s="4">
        <v>48191010</v>
      </c>
      <c r="L453" s="3" t="s">
        <v>1534</v>
      </c>
      <c r="M453" s="3" t="s">
        <v>1535</v>
      </c>
      <c r="N453" s="5">
        <f t="shared" si="7"/>
        <v>18</v>
      </c>
    </row>
    <row r="454" spans="1:14" ht="14.4" x14ac:dyDescent="0.3">
      <c r="A454" s="3" t="s">
        <v>1536</v>
      </c>
      <c r="B454" s="3" t="s">
        <v>49</v>
      </c>
      <c r="C454" s="3" t="s">
        <v>20</v>
      </c>
      <c r="D454" s="3" t="s">
        <v>50</v>
      </c>
      <c r="E454" s="3" t="s">
        <v>22</v>
      </c>
      <c r="F454" s="3" t="s">
        <v>1537</v>
      </c>
      <c r="G454" s="3" t="s">
        <v>3618</v>
      </c>
      <c r="H454" s="7">
        <v>44831</v>
      </c>
      <c r="I454" s="6">
        <v>52682.45</v>
      </c>
      <c r="J454" s="6">
        <v>9482.84</v>
      </c>
      <c r="K454" s="4">
        <v>48192020</v>
      </c>
      <c r="L454" s="3" t="s">
        <v>52</v>
      </c>
      <c r="M454" s="3" t="s">
        <v>961</v>
      </c>
      <c r="N454" s="5">
        <f t="shared" si="7"/>
        <v>17.999998101834674</v>
      </c>
    </row>
    <row r="455" spans="1:14" ht="14.4" x14ac:dyDescent="0.3">
      <c r="A455" s="3" t="s">
        <v>1538</v>
      </c>
      <c r="B455" s="3" t="s">
        <v>1539</v>
      </c>
      <c r="C455" s="3" t="s">
        <v>134</v>
      </c>
      <c r="D455" s="3" t="s">
        <v>57</v>
      </c>
      <c r="E455" s="3" t="s">
        <v>22</v>
      </c>
      <c r="F455" s="3" t="s">
        <v>1540</v>
      </c>
      <c r="G455" s="3" t="s">
        <v>3619</v>
      </c>
      <c r="H455" s="7">
        <v>44830</v>
      </c>
      <c r="I455" s="6">
        <v>174817</v>
      </c>
      <c r="J455" s="6">
        <v>31467.06</v>
      </c>
      <c r="K455" s="4">
        <v>39059990</v>
      </c>
      <c r="L455" s="3" t="s">
        <v>1541</v>
      </c>
      <c r="M455" s="3" t="s">
        <v>961</v>
      </c>
      <c r="N455" s="5">
        <f t="shared" si="7"/>
        <v>18</v>
      </c>
    </row>
    <row r="456" spans="1:14" ht="14.4" x14ac:dyDescent="0.3">
      <c r="A456" s="3" t="s">
        <v>1542</v>
      </c>
      <c r="B456" s="3" t="s">
        <v>25</v>
      </c>
      <c r="C456" s="3" t="s">
        <v>26</v>
      </c>
      <c r="D456" s="3" t="s">
        <v>27</v>
      </c>
      <c r="E456" s="3" t="s">
        <v>28</v>
      </c>
      <c r="F456" s="3" t="s">
        <v>1543</v>
      </c>
      <c r="G456" s="3" t="s">
        <v>3620</v>
      </c>
      <c r="H456" s="7">
        <v>44831</v>
      </c>
      <c r="I456" s="6">
        <v>368145</v>
      </c>
      <c r="J456" s="6">
        <v>66266</v>
      </c>
      <c r="K456" s="4">
        <v>29420090</v>
      </c>
      <c r="L456" s="3" t="s">
        <v>31</v>
      </c>
      <c r="M456" s="3" t="s">
        <v>961</v>
      </c>
      <c r="N456" s="5">
        <f t="shared" si="7"/>
        <v>17.999972836789851</v>
      </c>
    </row>
    <row r="457" spans="1:14" ht="14.4" x14ac:dyDescent="0.3">
      <c r="A457" s="3" t="s">
        <v>1544</v>
      </c>
      <c r="B457" s="3" t="s">
        <v>197</v>
      </c>
      <c r="C457" s="3" t="s">
        <v>20</v>
      </c>
      <c r="D457" s="3" t="s">
        <v>50</v>
      </c>
      <c r="E457" s="3" t="s">
        <v>22</v>
      </c>
      <c r="F457" s="3" t="s">
        <v>1545</v>
      </c>
      <c r="G457" s="3" t="s">
        <v>3621</v>
      </c>
      <c r="H457" s="7">
        <v>44831</v>
      </c>
      <c r="I457" s="6">
        <v>400000</v>
      </c>
      <c r="J457" s="6">
        <v>72000</v>
      </c>
      <c r="K457" s="4">
        <v>29420090</v>
      </c>
      <c r="L457" s="3" t="s">
        <v>199</v>
      </c>
      <c r="M457" s="3" t="s">
        <v>961</v>
      </c>
      <c r="N457" s="5">
        <f t="shared" si="7"/>
        <v>18</v>
      </c>
    </row>
    <row r="458" spans="1:14" ht="14.4" x14ac:dyDescent="0.3">
      <c r="A458" s="3" t="s">
        <v>1546</v>
      </c>
      <c r="B458" s="3" t="s">
        <v>394</v>
      </c>
      <c r="C458" s="3" t="s">
        <v>26</v>
      </c>
      <c r="D458" s="3" t="s">
        <v>95</v>
      </c>
      <c r="E458" s="3" t="s">
        <v>22</v>
      </c>
      <c r="F458" s="3" t="s">
        <v>1547</v>
      </c>
      <c r="G458" s="3" t="s">
        <v>3622</v>
      </c>
      <c r="H458" s="7">
        <v>44829</v>
      </c>
      <c r="I458" s="6">
        <v>63507.5</v>
      </c>
      <c r="J458" s="6">
        <v>11431.36</v>
      </c>
      <c r="K458" s="4">
        <v>48192090</v>
      </c>
      <c r="L458" s="3" t="s">
        <v>97</v>
      </c>
      <c r="M458" s="3" t="s">
        <v>961</v>
      </c>
      <c r="N458" s="5">
        <f t="shared" si="7"/>
        <v>18.000015746171712</v>
      </c>
    </row>
    <row r="459" spans="1:14" ht="14.4" x14ac:dyDescent="0.3">
      <c r="A459" s="3" t="s">
        <v>1548</v>
      </c>
      <c r="B459" s="3" t="s">
        <v>1549</v>
      </c>
      <c r="C459" s="3" t="s">
        <v>134</v>
      </c>
      <c r="D459" s="3" t="s">
        <v>536</v>
      </c>
      <c r="E459" s="3" t="s">
        <v>22</v>
      </c>
      <c r="F459" s="3" t="s">
        <v>1550</v>
      </c>
      <c r="G459" s="3" t="s">
        <v>3623</v>
      </c>
      <c r="H459" s="7">
        <v>44831</v>
      </c>
      <c r="I459" s="6">
        <v>78500</v>
      </c>
      <c r="J459" s="6">
        <v>14130</v>
      </c>
      <c r="K459" s="4">
        <v>28112200</v>
      </c>
      <c r="L459" s="3" t="s">
        <v>1551</v>
      </c>
      <c r="M459" s="3" t="s">
        <v>549</v>
      </c>
      <c r="N459" s="5">
        <f t="shared" si="7"/>
        <v>18</v>
      </c>
    </row>
    <row r="460" spans="1:14" ht="14.4" x14ac:dyDescent="0.3">
      <c r="A460" s="3" t="s">
        <v>1552</v>
      </c>
      <c r="B460" s="3" t="s">
        <v>116</v>
      </c>
      <c r="C460" s="3" t="s">
        <v>20</v>
      </c>
      <c r="D460" s="3" t="s">
        <v>95</v>
      </c>
      <c r="E460" s="3" t="s">
        <v>22</v>
      </c>
      <c r="F460" s="3" t="s">
        <v>1553</v>
      </c>
      <c r="G460" s="3" t="s">
        <v>3624</v>
      </c>
      <c r="H460" s="7">
        <v>44831</v>
      </c>
      <c r="I460" s="6">
        <v>91245</v>
      </c>
      <c r="J460" s="6">
        <v>16424.099999999999</v>
      </c>
      <c r="K460" s="4">
        <v>39239090</v>
      </c>
      <c r="L460" s="3" t="s">
        <v>118</v>
      </c>
      <c r="M460" s="3" t="s">
        <v>1554</v>
      </c>
      <c r="N460" s="5">
        <f t="shared" si="7"/>
        <v>17.999999999999996</v>
      </c>
    </row>
    <row r="461" spans="1:14" ht="14.4" x14ac:dyDescent="0.3">
      <c r="A461" s="3" t="s">
        <v>1555</v>
      </c>
      <c r="B461" s="3" t="s">
        <v>423</v>
      </c>
      <c r="C461" s="3" t="s">
        <v>20</v>
      </c>
      <c r="D461" s="3" t="s">
        <v>50</v>
      </c>
      <c r="E461" s="3" t="s">
        <v>22</v>
      </c>
      <c r="F461" s="3" t="s">
        <v>1556</v>
      </c>
      <c r="G461" s="3">
        <v>763</v>
      </c>
      <c r="H461" s="7">
        <v>44828</v>
      </c>
      <c r="I461" s="6">
        <v>79285.440000000002</v>
      </c>
      <c r="J461" s="6">
        <v>14271.38</v>
      </c>
      <c r="K461" s="4">
        <v>39219023</v>
      </c>
      <c r="L461" s="3" t="s">
        <v>498</v>
      </c>
      <c r="M461" s="3" t="s">
        <v>280</v>
      </c>
      <c r="N461" s="5">
        <f t="shared" si="7"/>
        <v>18.0000010090125</v>
      </c>
    </row>
    <row r="462" spans="1:14" ht="14.4" x14ac:dyDescent="0.3">
      <c r="A462" s="3" t="s">
        <v>1557</v>
      </c>
      <c r="B462" s="3" t="s">
        <v>409</v>
      </c>
      <c r="C462" s="3" t="s">
        <v>20</v>
      </c>
      <c r="D462" s="3" t="s">
        <v>410</v>
      </c>
      <c r="E462" s="3" t="s">
        <v>22</v>
      </c>
      <c r="F462" s="3" t="s">
        <v>1558</v>
      </c>
      <c r="G462" s="3">
        <v>880</v>
      </c>
      <c r="H462" s="7">
        <v>44828</v>
      </c>
      <c r="I462" s="6">
        <v>90000</v>
      </c>
      <c r="J462" s="6">
        <v>16200</v>
      </c>
      <c r="K462" s="4">
        <v>32050000</v>
      </c>
      <c r="L462" s="3" t="s">
        <v>412</v>
      </c>
      <c r="M462" s="3" t="s">
        <v>549</v>
      </c>
      <c r="N462" s="5">
        <f t="shared" si="7"/>
        <v>18</v>
      </c>
    </row>
    <row r="463" spans="1:14" ht="14.4" x14ac:dyDescent="0.3">
      <c r="A463" s="3" t="s">
        <v>1559</v>
      </c>
      <c r="B463" s="3" t="s">
        <v>1354</v>
      </c>
      <c r="C463" s="3" t="s">
        <v>20</v>
      </c>
      <c r="D463" s="3" t="s">
        <v>50</v>
      </c>
      <c r="E463" s="3" t="s">
        <v>22</v>
      </c>
      <c r="F463" s="3" t="s">
        <v>1560</v>
      </c>
      <c r="G463" s="3">
        <v>396</v>
      </c>
      <c r="H463" s="7">
        <v>44828</v>
      </c>
      <c r="I463" s="6">
        <v>82500</v>
      </c>
      <c r="J463" s="6">
        <v>14850</v>
      </c>
      <c r="K463" s="4">
        <v>39129090</v>
      </c>
      <c r="L463" s="3"/>
      <c r="M463" s="3" t="s">
        <v>495</v>
      </c>
      <c r="N463" s="5">
        <f t="shared" si="7"/>
        <v>18</v>
      </c>
    </row>
    <row r="464" spans="1:14" ht="14.4" x14ac:dyDescent="0.3">
      <c r="A464" s="3" t="s">
        <v>1561</v>
      </c>
      <c r="B464" s="3" t="s">
        <v>394</v>
      </c>
      <c r="C464" s="3" t="s">
        <v>26</v>
      </c>
      <c r="D464" s="3" t="s">
        <v>95</v>
      </c>
      <c r="E464" s="3" t="s">
        <v>22</v>
      </c>
      <c r="F464" s="3" t="s">
        <v>1562</v>
      </c>
      <c r="G464" s="3" t="s">
        <v>3625</v>
      </c>
      <c r="H464" s="7">
        <v>44826</v>
      </c>
      <c r="I464" s="6">
        <v>83314.5</v>
      </c>
      <c r="J464" s="6">
        <v>14996.62</v>
      </c>
      <c r="K464" s="4">
        <v>48192090</v>
      </c>
      <c r="L464" s="3" t="s">
        <v>97</v>
      </c>
      <c r="M464" s="3" t="s">
        <v>36</v>
      </c>
      <c r="N464" s="5">
        <f t="shared" si="7"/>
        <v>18.000012002712612</v>
      </c>
    </row>
    <row r="465" spans="1:14" ht="14.4" x14ac:dyDescent="0.3">
      <c r="A465" s="3" t="s">
        <v>1563</v>
      </c>
      <c r="B465" s="3" t="s">
        <v>394</v>
      </c>
      <c r="C465" s="3" t="s">
        <v>26</v>
      </c>
      <c r="D465" s="3" t="s">
        <v>95</v>
      </c>
      <c r="E465" s="3" t="s">
        <v>22</v>
      </c>
      <c r="F465" s="3" t="s">
        <v>1564</v>
      </c>
      <c r="G465" s="3" t="s">
        <v>3626</v>
      </c>
      <c r="H465" s="7">
        <v>44825</v>
      </c>
      <c r="I465" s="6">
        <v>175767.7</v>
      </c>
      <c r="J465" s="6">
        <v>31638.22</v>
      </c>
      <c r="K465" s="4">
        <v>48192090</v>
      </c>
      <c r="L465" s="3" t="s">
        <v>97</v>
      </c>
      <c r="M465" s="3" t="s">
        <v>36</v>
      </c>
      <c r="N465" s="5">
        <f t="shared" si="7"/>
        <v>18.000019343713319</v>
      </c>
    </row>
    <row r="466" spans="1:14" ht="14.4" x14ac:dyDescent="0.3">
      <c r="A466" s="3" t="s">
        <v>1565</v>
      </c>
      <c r="B466" s="3" t="s">
        <v>202</v>
      </c>
      <c r="C466" s="3" t="s">
        <v>134</v>
      </c>
      <c r="D466" s="3" t="s">
        <v>203</v>
      </c>
      <c r="E466" s="3" t="s">
        <v>204</v>
      </c>
      <c r="F466" s="3" t="s">
        <v>1566</v>
      </c>
      <c r="G466" s="3" t="s">
        <v>3627</v>
      </c>
      <c r="H466" s="7">
        <v>44826</v>
      </c>
      <c r="I466" s="6">
        <v>861221.4</v>
      </c>
      <c r="J466" s="6">
        <v>155019.85</v>
      </c>
      <c r="K466" s="4">
        <v>76071994</v>
      </c>
      <c r="L466" s="3" t="s">
        <v>206</v>
      </c>
      <c r="M466" s="3" t="s">
        <v>1567</v>
      </c>
      <c r="N466" s="5">
        <f t="shared" si="7"/>
        <v>17.99999976777168</v>
      </c>
    </row>
    <row r="467" spans="1:14" ht="14.4" x14ac:dyDescent="0.3">
      <c r="A467" s="3" t="s">
        <v>1568</v>
      </c>
      <c r="B467" s="3" t="s">
        <v>161</v>
      </c>
      <c r="C467" s="3" t="s">
        <v>56</v>
      </c>
      <c r="D467" s="3" t="s">
        <v>57</v>
      </c>
      <c r="E467" s="3" t="s">
        <v>162</v>
      </c>
      <c r="F467" s="3" t="s">
        <v>1569</v>
      </c>
      <c r="G467" s="3" t="s">
        <v>3628</v>
      </c>
      <c r="H467" s="7">
        <v>44825</v>
      </c>
      <c r="I467" s="6">
        <v>1036768.13</v>
      </c>
      <c r="J467" s="6">
        <v>186618.26</v>
      </c>
      <c r="K467" s="4">
        <v>29419090</v>
      </c>
      <c r="L467" s="3" t="s">
        <v>1570</v>
      </c>
      <c r="M467" s="3" t="s">
        <v>516</v>
      </c>
      <c r="N467" s="5">
        <f t="shared" si="7"/>
        <v>17.999999672057822</v>
      </c>
    </row>
    <row r="468" spans="1:14" ht="14.4" x14ac:dyDescent="0.3">
      <c r="A468" s="3" t="s">
        <v>1571</v>
      </c>
      <c r="B468" s="3" t="s">
        <v>1139</v>
      </c>
      <c r="C468" s="3" t="s">
        <v>1140</v>
      </c>
      <c r="D468" s="3" t="s">
        <v>57</v>
      </c>
      <c r="E468" s="3" t="s">
        <v>22</v>
      </c>
      <c r="F468" s="3" t="s">
        <v>1572</v>
      </c>
      <c r="G468" s="3" t="s">
        <v>3629</v>
      </c>
      <c r="H468" s="7">
        <v>44825</v>
      </c>
      <c r="I468" s="6">
        <v>54080</v>
      </c>
      <c r="J468" s="6">
        <v>9734.4</v>
      </c>
      <c r="K468" s="4">
        <v>83099010</v>
      </c>
      <c r="L468" s="3" t="s">
        <v>1573</v>
      </c>
      <c r="M468" s="3" t="s">
        <v>516</v>
      </c>
      <c r="N468" s="5">
        <f t="shared" si="7"/>
        <v>18</v>
      </c>
    </row>
    <row r="469" spans="1:14" ht="14.4" x14ac:dyDescent="0.3">
      <c r="A469" s="3" t="s">
        <v>1574</v>
      </c>
      <c r="B469" s="3" t="s">
        <v>1273</v>
      </c>
      <c r="C469" s="3" t="s">
        <v>20</v>
      </c>
      <c r="D469" s="3" t="s">
        <v>156</v>
      </c>
      <c r="E469" s="3" t="s">
        <v>22</v>
      </c>
      <c r="F469" s="3" t="s">
        <v>1575</v>
      </c>
      <c r="G469" s="3" t="s">
        <v>3630</v>
      </c>
      <c r="H469" s="7">
        <v>44825</v>
      </c>
      <c r="I469" s="6">
        <v>45538.25</v>
      </c>
      <c r="J469" s="6">
        <v>8196.8799999999992</v>
      </c>
      <c r="K469" s="4">
        <v>4819</v>
      </c>
      <c r="L469" s="3"/>
      <c r="M469" s="3" t="s">
        <v>1576</v>
      </c>
      <c r="N469" s="5">
        <f t="shared" si="7"/>
        <v>17.999989020219264</v>
      </c>
    </row>
    <row r="470" spans="1:14" ht="14.4" x14ac:dyDescent="0.3">
      <c r="A470" s="3" t="s">
        <v>1577</v>
      </c>
      <c r="B470" s="3" t="s">
        <v>161</v>
      </c>
      <c r="C470" s="3" t="s">
        <v>56</v>
      </c>
      <c r="D470" s="3" t="s">
        <v>57</v>
      </c>
      <c r="E470" s="3" t="s">
        <v>162</v>
      </c>
      <c r="F470" s="3" t="s">
        <v>1578</v>
      </c>
      <c r="G470" s="3" t="s">
        <v>3631</v>
      </c>
      <c r="H470" s="7">
        <v>44824</v>
      </c>
      <c r="I470" s="6">
        <v>268634.25</v>
      </c>
      <c r="J470" s="6">
        <v>48354.16</v>
      </c>
      <c r="K470" s="4">
        <v>29252990</v>
      </c>
      <c r="L470" s="3" t="s">
        <v>1579</v>
      </c>
      <c r="M470" s="3" t="s">
        <v>675</v>
      </c>
      <c r="N470" s="5">
        <f t="shared" si="7"/>
        <v>17.99999813873324</v>
      </c>
    </row>
    <row r="471" spans="1:14" ht="14.4" x14ac:dyDescent="0.3">
      <c r="A471" s="3" t="s">
        <v>1580</v>
      </c>
      <c r="B471" s="3" t="s">
        <v>55</v>
      </c>
      <c r="C471" s="3" t="s">
        <v>56</v>
      </c>
      <c r="D471" s="3" t="s">
        <v>57</v>
      </c>
      <c r="E471" s="3" t="s">
        <v>22</v>
      </c>
      <c r="F471" s="3" t="s">
        <v>1581</v>
      </c>
      <c r="G471" s="3" t="s">
        <v>3632</v>
      </c>
      <c r="H471" s="7">
        <v>44823</v>
      </c>
      <c r="I471" s="6">
        <v>43725</v>
      </c>
      <c r="J471" s="6">
        <v>7870.5</v>
      </c>
      <c r="K471" s="4">
        <v>96020030</v>
      </c>
      <c r="L471" s="3"/>
      <c r="M471" s="3" t="s">
        <v>675</v>
      </c>
      <c r="N471" s="5">
        <f t="shared" si="7"/>
        <v>18</v>
      </c>
    </row>
    <row r="472" spans="1:14" ht="14.4" x14ac:dyDescent="0.3">
      <c r="A472" s="3" t="s">
        <v>1582</v>
      </c>
      <c r="B472" s="3" t="s">
        <v>178</v>
      </c>
      <c r="C472" s="3" t="s">
        <v>20</v>
      </c>
      <c r="D472" s="3" t="s">
        <v>50</v>
      </c>
      <c r="E472" s="3" t="s">
        <v>22</v>
      </c>
      <c r="F472" s="3" t="s">
        <v>1583</v>
      </c>
      <c r="G472" s="3" t="s">
        <v>3633</v>
      </c>
      <c r="H472" s="7">
        <v>44823</v>
      </c>
      <c r="I472" s="6">
        <v>69631.399999999994</v>
      </c>
      <c r="J472" s="6">
        <v>12533.66</v>
      </c>
      <c r="K472" s="4">
        <v>4811</v>
      </c>
      <c r="L472" s="3" t="s">
        <v>1584</v>
      </c>
      <c r="M472" s="3" t="s">
        <v>1585</v>
      </c>
      <c r="N472" s="5">
        <f t="shared" si="7"/>
        <v>18.000011489069589</v>
      </c>
    </row>
    <row r="473" spans="1:14" ht="14.4" x14ac:dyDescent="0.3">
      <c r="A473" s="3" t="s">
        <v>1586</v>
      </c>
      <c r="B473" s="3" t="s">
        <v>208</v>
      </c>
      <c r="C473" s="3" t="s">
        <v>209</v>
      </c>
      <c r="D473" s="3" t="s">
        <v>57</v>
      </c>
      <c r="E473" s="3" t="s">
        <v>22</v>
      </c>
      <c r="F473" s="3" t="s">
        <v>1587</v>
      </c>
      <c r="G473" s="3" t="s">
        <v>3634</v>
      </c>
      <c r="H473" s="7">
        <v>44821</v>
      </c>
      <c r="I473" s="6">
        <v>288000</v>
      </c>
      <c r="J473" s="6">
        <v>51840</v>
      </c>
      <c r="K473" s="4">
        <v>29420090</v>
      </c>
      <c r="L473" s="3" t="s">
        <v>30</v>
      </c>
      <c r="M473" s="3" t="s">
        <v>32</v>
      </c>
      <c r="N473" s="5">
        <f t="shared" si="7"/>
        <v>18</v>
      </c>
    </row>
    <row r="474" spans="1:14" ht="14.4" x14ac:dyDescent="0.3">
      <c r="A474" s="3" t="s">
        <v>1588</v>
      </c>
      <c r="B474" s="3" t="s">
        <v>197</v>
      </c>
      <c r="C474" s="3" t="s">
        <v>20</v>
      </c>
      <c r="D474" s="3" t="s">
        <v>57</v>
      </c>
      <c r="E474" s="3" t="s">
        <v>22</v>
      </c>
      <c r="F474" s="3" t="s">
        <v>1589</v>
      </c>
      <c r="G474" s="3" t="s">
        <v>3635</v>
      </c>
      <c r="H474" s="7">
        <v>44821</v>
      </c>
      <c r="I474" s="6">
        <v>47620</v>
      </c>
      <c r="J474" s="6">
        <v>8571.6</v>
      </c>
      <c r="K474" s="4">
        <v>29420090</v>
      </c>
      <c r="L474" s="3" t="s">
        <v>199</v>
      </c>
      <c r="M474" s="3" t="s">
        <v>1590</v>
      </c>
      <c r="N474" s="5">
        <f t="shared" si="7"/>
        <v>18</v>
      </c>
    </row>
    <row r="475" spans="1:14" ht="14.4" x14ac:dyDescent="0.3">
      <c r="A475" s="3" t="s">
        <v>1591</v>
      </c>
      <c r="B475" s="3" t="s">
        <v>178</v>
      </c>
      <c r="C475" s="3" t="s">
        <v>20</v>
      </c>
      <c r="D475" s="3" t="s">
        <v>50</v>
      </c>
      <c r="E475" s="3" t="s">
        <v>22</v>
      </c>
      <c r="F475" s="3" t="s">
        <v>1592</v>
      </c>
      <c r="G475" s="3" t="s">
        <v>3636</v>
      </c>
      <c r="H475" s="7">
        <v>44820</v>
      </c>
      <c r="I475" s="6">
        <v>98032.7</v>
      </c>
      <c r="J475" s="6">
        <v>17645.88</v>
      </c>
      <c r="K475" s="4">
        <v>4811</v>
      </c>
      <c r="L475" s="3" t="s">
        <v>1584</v>
      </c>
      <c r="M475" s="3" t="s">
        <v>104</v>
      </c>
      <c r="N475" s="5">
        <f t="shared" si="7"/>
        <v>17.999993879593237</v>
      </c>
    </row>
    <row r="476" spans="1:14" ht="14.4" x14ac:dyDescent="0.3">
      <c r="A476" s="3" t="s">
        <v>1593</v>
      </c>
      <c r="B476" s="3" t="s">
        <v>25</v>
      </c>
      <c r="C476" s="3" t="s">
        <v>26</v>
      </c>
      <c r="D476" s="3" t="s">
        <v>27</v>
      </c>
      <c r="E476" s="3" t="s">
        <v>28</v>
      </c>
      <c r="F476" s="3" t="s">
        <v>1594</v>
      </c>
      <c r="G476" s="3" t="s">
        <v>3637</v>
      </c>
      <c r="H476" s="7">
        <v>44820</v>
      </c>
      <c r="I476" s="6">
        <v>697500</v>
      </c>
      <c r="J476" s="6">
        <v>125550</v>
      </c>
      <c r="K476" s="4">
        <v>29420090</v>
      </c>
      <c r="L476" s="3" t="s">
        <v>552</v>
      </c>
      <c r="M476" s="3" t="s">
        <v>104</v>
      </c>
      <c r="N476" s="5">
        <f t="shared" si="7"/>
        <v>18</v>
      </c>
    </row>
    <row r="477" spans="1:14" ht="14.4" x14ac:dyDescent="0.3">
      <c r="A477" s="3" t="s">
        <v>1595</v>
      </c>
      <c r="B477" s="3" t="s">
        <v>1596</v>
      </c>
      <c r="C477" s="3" t="s">
        <v>975</v>
      </c>
      <c r="D477" s="3" t="s">
        <v>976</v>
      </c>
      <c r="E477" s="3" t="s">
        <v>136</v>
      </c>
      <c r="F477" s="3" t="s">
        <v>1597</v>
      </c>
      <c r="G477" s="3" t="s">
        <v>3638</v>
      </c>
      <c r="H477" s="7">
        <v>44820</v>
      </c>
      <c r="I477" s="6">
        <v>120000</v>
      </c>
      <c r="J477" s="6">
        <v>21600</v>
      </c>
      <c r="K477" s="4">
        <v>29051220</v>
      </c>
      <c r="L477" s="3" t="s">
        <v>1598</v>
      </c>
      <c r="M477" s="3" t="s">
        <v>104</v>
      </c>
      <c r="N477" s="5">
        <f t="shared" si="7"/>
        <v>18</v>
      </c>
    </row>
    <row r="478" spans="1:14" ht="14.4" x14ac:dyDescent="0.3">
      <c r="A478" s="3" t="s">
        <v>1599</v>
      </c>
      <c r="B478" s="3" t="s">
        <v>89</v>
      </c>
      <c r="C478" s="3" t="s">
        <v>20</v>
      </c>
      <c r="D478" s="3" t="s">
        <v>50</v>
      </c>
      <c r="E478" s="3" t="s">
        <v>22</v>
      </c>
      <c r="F478" s="3" t="s">
        <v>1600</v>
      </c>
      <c r="G478" s="3">
        <v>611</v>
      </c>
      <c r="H478" s="7">
        <v>44820</v>
      </c>
      <c r="I478" s="6">
        <v>9300</v>
      </c>
      <c r="J478" s="6">
        <v>1674</v>
      </c>
      <c r="K478" s="4">
        <v>84425010</v>
      </c>
      <c r="L478" s="3" t="s">
        <v>91</v>
      </c>
      <c r="M478" s="3" t="s">
        <v>104</v>
      </c>
      <c r="N478" s="5">
        <f t="shared" si="7"/>
        <v>18</v>
      </c>
    </row>
    <row r="479" spans="1:14" ht="14.4" x14ac:dyDescent="0.3">
      <c r="A479" s="3" t="s">
        <v>1601</v>
      </c>
      <c r="B479" s="3" t="s">
        <v>89</v>
      </c>
      <c r="C479" s="3" t="s">
        <v>20</v>
      </c>
      <c r="D479" s="3" t="s">
        <v>50</v>
      </c>
      <c r="E479" s="3" t="s">
        <v>22</v>
      </c>
      <c r="F479" s="3" t="s">
        <v>1602</v>
      </c>
      <c r="G479" s="3">
        <v>610</v>
      </c>
      <c r="H479" s="7">
        <v>44820</v>
      </c>
      <c r="I479" s="6">
        <v>127423.2</v>
      </c>
      <c r="J479" s="6">
        <v>22936.18</v>
      </c>
      <c r="K479" s="4">
        <v>76071994</v>
      </c>
      <c r="L479" s="3" t="s">
        <v>131</v>
      </c>
      <c r="M479" s="3" t="s">
        <v>104</v>
      </c>
      <c r="N479" s="5">
        <f t="shared" si="7"/>
        <v>18.000003139145775</v>
      </c>
    </row>
    <row r="480" spans="1:14" ht="14.4" x14ac:dyDescent="0.3">
      <c r="A480" s="3" t="s">
        <v>1603</v>
      </c>
      <c r="B480" s="3" t="s">
        <v>49</v>
      </c>
      <c r="C480" s="3" t="s">
        <v>20</v>
      </c>
      <c r="D480" s="3" t="s">
        <v>50</v>
      </c>
      <c r="E480" s="3" t="s">
        <v>22</v>
      </c>
      <c r="F480" s="3" t="s">
        <v>1604</v>
      </c>
      <c r="G480" s="3" t="s">
        <v>3639</v>
      </c>
      <c r="H480" s="7">
        <v>44818</v>
      </c>
      <c r="I480" s="6">
        <v>55932.25</v>
      </c>
      <c r="J480" s="6">
        <v>10067.799999999999</v>
      </c>
      <c r="K480" s="4">
        <v>48192020</v>
      </c>
      <c r="L480" s="3" t="s">
        <v>52</v>
      </c>
      <c r="M480" s="3" t="s">
        <v>32</v>
      </c>
      <c r="N480" s="5">
        <f t="shared" si="7"/>
        <v>17.999991060613507</v>
      </c>
    </row>
    <row r="481" spans="1:14" ht="14.4" x14ac:dyDescent="0.3">
      <c r="A481" s="3" t="s">
        <v>1605</v>
      </c>
      <c r="B481" s="3" t="s">
        <v>409</v>
      </c>
      <c r="C481" s="3" t="s">
        <v>20</v>
      </c>
      <c r="D481" s="3" t="s">
        <v>410</v>
      </c>
      <c r="E481" s="3" t="s">
        <v>22</v>
      </c>
      <c r="F481" s="3" t="s">
        <v>1606</v>
      </c>
      <c r="G481" s="3">
        <v>818</v>
      </c>
      <c r="H481" s="7">
        <v>44817</v>
      </c>
      <c r="I481" s="6">
        <v>102500</v>
      </c>
      <c r="J481" s="6">
        <v>18450</v>
      </c>
      <c r="K481" s="4">
        <v>32050000</v>
      </c>
      <c r="L481" s="3" t="s">
        <v>412</v>
      </c>
      <c r="M481" s="3" t="s">
        <v>549</v>
      </c>
      <c r="N481" s="5">
        <f t="shared" si="7"/>
        <v>18</v>
      </c>
    </row>
    <row r="482" spans="1:14" ht="14.4" x14ac:dyDescent="0.3">
      <c r="A482" s="3" t="s">
        <v>1607</v>
      </c>
      <c r="B482" s="3" t="s">
        <v>182</v>
      </c>
      <c r="C482" s="3" t="s">
        <v>20</v>
      </c>
      <c r="D482" s="3" t="s">
        <v>167</v>
      </c>
      <c r="E482" s="3" t="s">
        <v>22</v>
      </c>
      <c r="F482" s="3" t="s">
        <v>1608</v>
      </c>
      <c r="G482" s="3" t="s">
        <v>3640</v>
      </c>
      <c r="H482" s="7">
        <v>44818</v>
      </c>
      <c r="I482" s="6">
        <v>70000</v>
      </c>
      <c r="J482" s="6">
        <v>12600</v>
      </c>
      <c r="K482" s="4">
        <v>39123919</v>
      </c>
      <c r="L482" s="3" t="s">
        <v>1609</v>
      </c>
      <c r="M482" s="3" t="s">
        <v>961</v>
      </c>
      <c r="N482" s="5">
        <f t="shared" si="7"/>
        <v>18</v>
      </c>
    </row>
    <row r="483" spans="1:14" ht="14.4" x14ac:dyDescent="0.3">
      <c r="A483" s="3" t="s">
        <v>1610</v>
      </c>
      <c r="B483" s="3" t="s">
        <v>394</v>
      </c>
      <c r="C483" s="3" t="s">
        <v>26</v>
      </c>
      <c r="D483" s="3" t="s">
        <v>95</v>
      </c>
      <c r="E483" s="3" t="s">
        <v>22</v>
      </c>
      <c r="F483" s="3" t="s">
        <v>1611</v>
      </c>
      <c r="G483" s="3" t="s">
        <v>3641</v>
      </c>
      <c r="H483" s="7">
        <v>44817</v>
      </c>
      <c r="I483" s="6">
        <v>90490.6</v>
      </c>
      <c r="J483" s="6">
        <v>16288.34</v>
      </c>
      <c r="K483" s="4">
        <v>48192090</v>
      </c>
      <c r="L483" s="3" t="s">
        <v>97</v>
      </c>
      <c r="M483" s="3" t="s">
        <v>675</v>
      </c>
      <c r="N483" s="5">
        <f t="shared" si="7"/>
        <v>18.000035362789063</v>
      </c>
    </row>
    <row r="484" spans="1:14" ht="14.4" x14ac:dyDescent="0.3">
      <c r="A484" s="3" t="s">
        <v>1612</v>
      </c>
      <c r="B484" s="3" t="s">
        <v>1516</v>
      </c>
      <c r="C484" s="3" t="s">
        <v>26</v>
      </c>
      <c r="D484" s="3" t="s">
        <v>1517</v>
      </c>
      <c r="E484" s="3" t="s">
        <v>1518</v>
      </c>
      <c r="F484" s="3" t="s">
        <v>1613</v>
      </c>
      <c r="G484" s="3">
        <v>1210911</v>
      </c>
      <c r="H484" s="7">
        <v>44817</v>
      </c>
      <c r="I484" s="6">
        <v>550000</v>
      </c>
      <c r="J484" s="6"/>
      <c r="K484" s="4">
        <v>29419090</v>
      </c>
      <c r="L484" s="3" t="s">
        <v>1614</v>
      </c>
      <c r="M484" s="3" t="s">
        <v>1615</v>
      </c>
      <c r="N484" s="5">
        <f t="shared" si="7"/>
        <v>0</v>
      </c>
    </row>
    <row r="485" spans="1:14" ht="14.4" x14ac:dyDescent="0.3">
      <c r="A485" s="3" t="s">
        <v>1616</v>
      </c>
      <c r="B485" s="3" t="s">
        <v>155</v>
      </c>
      <c r="C485" s="3" t="s">
        <v>20</v>
      </c>
      <c r="D485" s="3" t="s">
        <v>156</v>
      </c>
      <c r="E485" s="3" t="s">
        <v>1532</v>
      </c>
      <c r="F485" s="3" t="s">
        <v>1617</v>
      </c>
      <c r="G485" s="3" t="s">
        <v>3642</v>
      </c>
      <c r="H485" s="7">
        <v>44815</v>
      </c>
      <c r="I485" s="6">
        <v>64103.3</v>
      </c>
      <c r="J485" s="6">
        <v>11538.6</v>
      </c>
      <c r="K485" s="4">
        <v>48191010</v>
      </c>
      <c r="L485" s="3" t="s">
        <v>1618</v>
      </c>
      <c r="M485" s="3" t="s">
        <v>159</v>
      </c>
      <c r="N485" s="5">
        <f t="shared" si="7"/>
        <v>18.000009359892548</v>
      </c>
    </row>
    <row r="486" spans="1:14" ht="14.4" x14ac:dyDescent="0.3">
      <c r="A486" s="3" t="s">
        <v>1619</v>
      </c>
      <c r="B486" s="3" t="s">
        <v>1549</v>
      </c>
      <c r="C486" s="3" t="s">
        <v>134</v>
      </c>
      <c r="D486" s="3" t="s">
        <v>536</v>
      </c>
      <c r="E486" s="3" t="s">
        <v>22</v>
      </c>
      <c r="F486" s="3" t="s">
        <v>1620</v>
      </c>
      <c r="G486" s="3" t="s">
        <v>3643</v>
      </c>
      <c r="H486" s="7">
        <v>44814</v>
      </c>
      <c r="I486" s="6">
        <v>58500</v>
      </c>
      <c r="J486" s="6">
        <v>10530</v>
      </c>
      <c r="K486" s="4">
        <v>29420090</v>
      </c>
      <c r="L486" s="3" t="s">
        <v>1621</v>
      </c>
      <c r="M486" s="3" t="s">
        <v>549</v>
      </c>
      <c r="N486" s="5">
        <f t="shared" si="7"/>
        <v>18</v>
      </c>
    </row>
    <row r="487" spans="1:14" ht="14.4" x14ac:dyDescent="0.3">
      <c r="A487" s="3" t="s">
        <v>1622</v>
      </c>
      <c r="B487" s="3" t="s">
        <v>197</v>
      </c>
      <c r="C487" s="3" t="s">
        <v>20</v>
      </c>
      <c r="D487" s="3" t="s">
        <v>50</v>
      </c>
      <c r="E487" s="3" t="s">
        <v>22</v>
      </c>
      <c r="F487" s="3" t="s">
        <v>1623</v>
      </c>
      <c r="G487" s="3" t="s">
        <v>3644</v>
      </c>
      <c r="H487" s="7">
        <v>44813</v>
      </c>
      <c r="I487" s="6">
        <v>900000</v>
      </c>
      <c r="J487" s="6">
        <v>162000</v>
      </c>
      <c r="K487" s="4">
        <v>29222933</v>
      </c>
      <c r="L487" s="3" t="s">
        <v>199</v>
      </c>
      <c r="M487" s="3" t="s">
        <v>467</v>
      </c>
      <c r="N487" s="5">
        <f t="shared" si="7"/>
        <v>18</v>
      </c>
    </row>
    <row r="488" spans="1:14" ht="14.4" x14ac:dyDescent="0.3">
      <c r="A488" s="3" t="s">
        <v>1624</v>
      </c>
      <c r="B488" s="3" t="s">
        <v>197</v>
      </c>
      <c r="C488" s="3" t="s">
        <v>20</v>
      </c>
      <c r="D488" s="3" t="s">
        <v>57</v>
      </c>
      <c r="E488" s="3" t="s">
        <v>22</v>
      </c>
      <c r="F488" s="3" t="s">
        <v>1625</v>
      </c>
      <c r="G488" s="3" t="s">
        <v>3645</v>
      </c>
      <c r="H488" s="7">
        <v>44812</v>
      </c>
      <c r="I488" s="6">
        <v>192000</v>
      </c>
      <c r="J488" s="6">
        <v>34560</v>
      </c>
      <c r="K488" s="4">
        <v>29420090</v>
      </c>
      <c r="L488" s="3" t="s">
        <v>199</v>
      </c>
      <c r="M488" s="3" t="s">
        <v>516</v>
      </c>
      <c r="N488" s="5">
        <f t="shared" si="7"/>
        <v>18</v>
      </c>
    </row>
    <row r="489" spans="1:14" ht="14.4" x14ac:dyDescent="0.3">
      <c r="A489" s="3" t="s">
        <v>1626</v>
      </c>
      <c r="B489" s="3" t="s">
        <v>49</v>
      </c>
      <c r="C489" s="3" t="s">
        <v>20</v>
      </c>
      <c r="D489" s="3" t="s">
        <v>50</v>
      </c>
      <c r="E489" s="3" t="s">
        <v>22</v>
      </c>
      <c r="F489" s="3" t="s">
        <v>1627</v>
      </c>
      <c r="G489" s="3" t="s">
        <v>3646</v>
      </c>
      <c r="H489" s="7">
        <v>44812</v>
      </c>
      <c r="I489" s="6">
        <v>45187.199999999997</v>
      </c>
      <c r="J489" s="6">
        <v>8133.7</v>
      </c>
      <c r="K489" s="4">
        <v>48192020</v>
      </c>
      <c r="L489" s="3" t="s">
        <v>52</v>
      </c>
      <c r="M489" s="3" t="s">
        <v>516</v>
      </c>
      <c r="N489" s="5">
        <f t="shared" si="7"/>
        <v>18.000008852064301</v>
      </c>
    </row>
    <row r="490" spans="1:14" ht="14.4" x14ac:dyDescent="0.3">
      <c r="A490" s="3" t="s">
        <v>1628</v>
      </c>
      <c r="B490" s="3" t="s">
        <v>394</v>
      </c>
      <c r="C490" s="3" t="s">
        <v>26</v>
      </c>
      <c r="D490" s="3" t="s">
        <v>95</v>
      </c>
      <c r="E490" s="3" t="s">
        <v>22</v>
      </c>
      <c r="F490" s="3" t="s">
        <v>1629</v>
      </c>
      <c r="G490" s="3" t="s">
        <v>3647</v>
      </c>
      <c r="H490" s="7">
        <v>44812</v>
      </c>
      <c r="I490" s="6">
        <v>55532.9</v>
      </c>
      <c r="J490" s="6">
        <v>9995.94</v>
      </c>
      <c r="K490" s="4">
        <v>48192090</v>
      </c>
      <c r="L490" s="3" t="s">
        <v>97</v>
      </c>
      <c r="M490" s="3" t="s">
        <v>516</v>
      </c>
      <c r="N490" s="5">
        <f t="shared" si="7"/>
        <v>18.000032413218111</v>
      </c>
    </row>
    <row r="491" spans="1:14" ht="14.4" x14ac:dyDescent="0.3">
      <c r="A491" s="3" t="s">
        <v>1630</v>
      </c>
      <c r="B491" s="3" t="s">
        <v>84</v>
      </c>
      <c r="C491" s="3" t="s">
        <v>20</v>
      </c>
      <c r="D491" s="3" t="s">
        <v>239</v>
      </c>
      <c r="E491" s="3" t="s">
        <v>22</v>
      </c>
      <c r="F491" s="3" t="s">
        <v>1631</v>
      </c>
      <c r="G491" s="3" t="s">
        <v>3648</v>
      </c>
      <c r="H491" s="7">
        <v>44806</v>
      </c>
      <c r="I491" s="6">
        <v>71586</v>
      </c>
      <c r="J491" s="6">
        <v>12885.48</v>
      </c>
      <c r="K491" s="4">
        <v>3921</v>
      </c>
      <c r="L491" s="3" t="s">
        <v>118</v>
      </c>
      <c r="M491" s="3" t="s">
        <v>1632</v>
      </c>
      <c r="N491" s="5">
        <f t="shared" si="7"/>
        <v>18</v>
      </c>
    </row>
    <row r="492" spans="1:14" ht="14.4" x14ac:dyDescent="0.3">
      <c r="A492" s="3" t="s">
        <v>1633</v>
      </c>
      <c r="B492" s="3" t="s">
        <v>394</v>
      </c>
      <c r="C492" s="3" t="s">
        <v>26</v>
      </c>
      <c r="D492" s="3" t="s">
        <v>95</v>
      </c>
      <c r="E492" s="3" t="s">
        <v>22</v>
      </c>
      <c r="F492" s="3" t="s">
        <v>1634</v>
      </c>
      <c r="G492" s="3" t="s">
        <v>3649</v>
      </c>
      <c r="H492" s="7">
        <v>44811</v>
      </c>
      <c r="I492" s="6">
        <v>115374.48</v>
      </c>
      <c r="J492" s="6">
        <v>20767.419999999998</v>
      </c>
      <c r="K492" s="4">
        <v>48192090</v>
      </c>
      <c r="L492" s="3" t="s">
        <v>97</v>
      </c>
      <c r="M492" s="3" t="s">
        <v>36</v>
      </c>
      <c r="N492" s="5">
        <f t="shared" si="7"/>
        <v>18.000011787702096</v>
      </c>
    </row>
    <row r="493" spans="1:14" ht="14.4" x14ac:dyDescent="0.3">
      <c r="A493" s="3" t="s">
        <v>1635</v>
      </c>
      <c r="B493" s="3" t="s">
        <v>89</v>
      </c>
      <c r="C493" s="3" t="s">
        <v>20</v>
      </c>
      <c r="D493" s="3" t="s">
        <v>50</v>
      </c>
      <c r="E493" s="3" t="s">
        <v>22</v>
      </c>
      <c r="F493" s="3" t="s">
        <v>1636</v>
      </c>
      <c r="G493" s="3">
        <v>581</v>
      </c>
      <c r="H493" s="7">
        <v>44811</v>
      </c>
      <c r="I493" s="6">
        <v>21100</v>
      </c>
      <c r="J493" s="6">
        <v>3798</v>
      </c>
      <c r="K493" s="4">
        <v>84425010</v>
      </c>
      <c r="L493" s="3" t="s">
        <v>1637</v>
      </c>
      <c r="M493" s="3" t="s">
        <v>36</v>
      </c>
      <c r="N493" s="5">
        <f t="shared" si="7"/>
        <v>18</v>
      </c>
    </row>
    <row r="494" spans="1:14" ht="14.4" x14ac:dyDescent="0.3">
      <c r="A494" s="3" t="s">
        <v>1638</v>
      </c>
      <c r="B494" s="3" t="s">
        <v>89</v>
      </c>
      <c r="C494" s="3" t="s">
        <v>20</v>
      </c>
      <c r="D494" s="3" t="s">
        <v>50</v>
      </c>
      <c r="E494" s="3" t="s">
        <v>22</v>
      </c>
      <c r="F494" s="3" t="s">
        <v>1639</v>
      </c>
      <c r="G494" s="3">
        <v>580</v>
      </c>
      <c r="H494" s="7">
        <v>44811</v>
      </c>
      <c r="I494" s="6">
        <v>49104.5</v>
      </c>
      <c r="J494" s="6">
        <v>8838.7999999999993</v>
      </c>
      <c r="K494" s="4">
        <v>76071994</v>
      </c>
      <c r="L494" s="3" t="s">
        <v>988</v>
      </c>
      <c r="M494" s="3" t="s">
        <v>36</v>
      </c>
      <c r="N494" s="5">
        <f t="shared" si="7"/>
        <v>17.999979635267643</v>
      </c>
    </row>
    <row r="495" spans="1:14" ht="14.4" x14ac:dyDescent="0.3">
      <c r="A495" s="3" t="s">
        <v>1640</v>
      </c>
      <c r="B495" s="3" t="s">
        <v>1010</v>
      </c>
      <c r="C495" s="3" t="s">
        <v>20</v>
      </c>
      <c r="D495" s="3" t="s">
        <v>1011</v>
      </c>
      <c r="E495" s="3" t="s">
        <v>22</v>
      </c>
      <c r="F495" s="3" t="s">
        <v>1641</v>
      </c>
      <c r="G495" s="3" t="s">
        <v>3650</v>
      </c>
      <c r="H495" s="7">
        <v>44811</v>
      </c>
      <c r="I495" s="6">
        <v>54558.2</v>
      </c>
      <c r="J495" s="6">
        <v>9820.48</v>
      </c>
      <c r="K495" s="4">
        <v>760719</v>
      </c>
      <c r="L495" s="3"/>
      <c r="M495" s="3" t="s">
        <v>516</v>
      </c>
      <c r="N495" s="5">
        <f t="shared" si="7"/>
        <v>18.000007331620179</v>
      </c>
    </row>
    <row r="496" spans="1:14" ht="14.4" x14ac:dyDescent="0.3">
      <c r="A496" s="3" t="s">
        <v>1642</v>
      </c>
      <c r="B496" s="3" t="s">
        <v>1643</v>
      </c>
      <c r="C496" s="3" t="s">
        <v>56</v>
      </c>
      <c r="D496" s="3" t="s">
        <v>536</v>
      </c>
      <c r="E496" s="3" t="s">
        <v>22</v>
      </c>
      <c r="F496" s="3" t="s">
        <v>1644</v>
      </c>
      <c r="G496" s="3" t="s">
        <v>3651</v>
      </c>
      <c r="H496" s="7">
        <v>44811</v>
      </c>
      <c r="I496" s="6">
        <v>1100550</v>
      </c>
      <c r="J496" s="6">
        <v>198099</v>
      </c>
      <c r="K496" s="4">
        <v>29222933</v>
      </c>
      <c r="L496" s="3" t="s">
        <v>1645</v>
      </c>
      <c r="M496" s="3" t="s">
        <v>36</v>
      </c>
      <c r="N496" s="5">
        <f t="shared" si="7"/>
        <v>18</v>
      </c>
    </row>
    <row r="497" spans="1:14" ht="14.4" x14ac:dyDescent="0.3">
      <c r="A497" s="3" t="s">
        <v>1646</v>
      </c>
      <c r="B497" s="3" t="s">
        <v>1273</v>
      </c>
      <c r="C497" s="3" t="s">
        <v>20</v>
      </c>
      <c r="D497" s="3" t="s">
        <v>156</v>
      </c>
      <c r="E497" s="3" t="s">
        <v>22</v>
      </c>
      <c r="F497" s="3" t="s">
        <v>1647</v>
      </c>
      <c r="G497" s="3" t="s">
        <v>3652</v>
      </c>
      <c r="H497" s="7">
        <v>44811</v>
      </c>
      <c r="I497" s="6">
        <v>43480.55</v>
      </c>
      <c r="J497" s="6">
        <v>7826.5</v>
      </c>
      <c r="K497" s="4">
        <v>4819</v>
      </c>
      <c r="L497" s="3"/>
      <c r="M497" s="3" t="s">
        <v>1576</v>
      </c>
      <c r="N497" s="5">
        <f t="shared" si="7"/>
        <v>18.000002299878911</v>
      </c>
    </row>
    <row r="498" spans="1:14" ht="14.4" x14ac:dyDescent="0.3">
      <c r="A498" s="3" t="s">
        <v>1648</v>
      </c>
      <c r="B498" s="3" t="s">
        <v>25</v>
      </c>
      <c r="C498" s="3" t="s">
        <v>26</v>
      </c>
      <c r="D498" s="3" t="s">
        <v>27</v>
      </c>
      <c r="E498" s="3" t="s">
        <v>28</v>
      </c>
      <c r="F498" s="3" t="s">
        <v>1649</v>
      </c>
      <c r="G498" s="3" t="s">
        <v>3653</v>
      </c>
      <c r="H498" s="7">
        <v>44810</v>
      </c>
      <c r="I498" s="6">
        <v>1674000</v>
      </c>
      <c r="J498" s="6">
        <v>301320</v>
      </c>
      <c r="K498" s="4">
        <v>29411030</v>
      </c>
      <c r="L498" s="3" t="s">
        <v>1650</v>
      </c>
      <c r="M498" s="3" t="s">
        <v>280</v>
      </c>
      <c r="N498" s="5">
        <f t="shared" si="7"/>
        <v>18</v>
      </c>
    </row>
    <row r="499" spans="1:14" ht="14.4" x14ac:dyDescent="0.3">
      <c r="A499" s="3" t="s">
        <v>1651</v>
      </c>
      <c r="B499" s="3" t="s">
        <v>55</v>
      </c>
      <c r="C499" s="3" t="s">
        <v>56</v>
      </c>
      <c r="D499" s="3" t="s">
        <v>57</v>
      </c>
      <c r="E499" s="3" t="s">
        <v>22</v>
      </c>
      <c r="F499" s="3" t="s">
        <v>1652</v>
      </c>
      <c r="G499" s="3" t="s">
        <v>3654</v>
      </c>
      <c r="H499" s="7">
        <v>44809</v>
      </c>
      <c r="I499" s="6">
        <v>111350</v>
      </c>
      <c r="J499" s="6">
        <v>20043</v>
      </c>
      <c r="K499" s="4">
        <v>96020030</v>
      </c>
      <c r="L499" s="3"/>
      <c r="M499" s="3" t="s">
        <v>280</v>
      </c>
      <c r="N499" s="5">
        <f t="shared" si="7"/>
        <v>18</v>
      </c>
    </row>
    <row r="500" spans="1:14" ht="14.4" x14ac:dyDescent="0.3">
      <c r="A500" s="3" t="s">
        <v>1653</v>
      </c>
      <c r="B500" s="3" t="s">
        <v>161</v>
      </c>
      <c r="C500" s="3" t="s">
        <v>56</v>
      </c>
      <c r="D500" s="3" t="s">
        <v>57</v>
      </c>
      <c r="E500" s="3" t="s">
        <v>162</v>
      </c>
      <c r="F500" s="3" t="s">
        <v>1654</v>
      </c>
      <c r="G500" s="3" t="s">
        <v>3655</v>
      </c>
      <c r="H500" s="7">
        <v>44807</v>
      </c>
      <c r="I500" s="6">
        <v>1200600</v>
      </c>
      <c r="J500" s="6">
        <v>216108</v>
      </c>
      <c r="K500" s="4">
        <v>29222933</v>
      </c>
      <c r="L500" s="3" t="s">
        <v>1655</v>
      </c>
      <c r="M500" s="3" t="s">
        <v>467</v>
      </c>
      <c r="N500" s="5">
        <f t="shared" si="7"/>
        <v>18</v>
      </c>
    </row>
    <row r="501" spans="1:14" ht="14.4" x14ac:dyDescent="0.3">
      <c r="A501" s="3" t="s">
        <v>1656</v>
      </c>
      <c r="B501" s="3" t="s">
        <v>394</v>
      </c>
      <c r="C501" s="3" t="s">
        <v>26</v>
      </c>
      <c r="D501" s="3" t="s">
        <v>95</v>
      </c>
      <c r="E501" s="3" t="s">
        <v>22</v>
      </c>
      <c r="F501" s="3" t="s">
        <v>1657</v>
      </c>
      <c r="G501" s="3" t="s">
        <v>3656</v>
      </c>
      <c r="H501" s="7">
        <v>44807</v>
      </c>
      <c r="I501" s="6">
        <v>40829.339999999997</v>
      </c>
      <c r="J501" s="6">
        <v>7349.28</v>
      </c>
      <c r="K501" s="4">
        <v>48192090</v>
      </c>
      <c r="L501" s="3" t="s">
        <v>97</v>
      </c>
      <c r="M501" s="3" t="s">
        <v>467</v>
      </c>
      <c r="N501" s="5">
        <f t="shared" si="7"/>
        <v>17.999997060937062</v>
      </c>
    </row>
    <row r="502" spans="1:14" ht="14.4" x14ac:dyDescent="0.3">
      <c r="A502" s="3" t="s">
        <v>1658</v>
      </c>
      <c r="B502" s="3" t="s">
        <v>1659</v>
      </c>
      <c r="C502" s="3" t="s">
        <v>20</v>
      </c>
      <c r="D502" s="3" t="s">
        <v>1011</v>
      </c>
      <c r="E502" s="3" t="s">
        <v>22</v>
      </c>
      <c r="F502" s="3" t="s">
        <v>1660</v>
      </c>
      <c r="G502" s="3" t="s">
        <v>3657</v>
      </c>
      <c r="H502" s="7">
        <v>44806</v>
      </c>
      <c r="I502" s="6">
        <v>89100.5</v>
      </c>
      <c r="J502" s="6">
        <v>16038.09</v>
      </c>
      <c r="K502" s="4">
        <v>481920</v>
      </c>
      <c r="L502" s="3"/>
      <c r="M502" s="3" t="s">
        <v>835</v>
      </c>
      <c r="N502" s="5">
        <f t="shared" si="7"/>
        <v>18</v>
      </c>
    </row>
    <row r="503" spans="1:14" ht="14.4" x14ac:dyDescent="0.3">
      <c r="A503" s="3" t="s">
        <v>1661</v>
      </c>
      <c r="B503" s="3" t="s">
        <v>25</v>
      </c>
      <c r="C503" s="3" t="s">
        <v>26</v>
      </c>
      <c r="D503" s="3" t="s">
        <v>27</v>
      </c>
      <c r="E503" s="3" t="s">
        <v>28</v>
      </c>
      <c r="F503" s="3" t="s">
        <v>1662</v>
      </c>
      <c r="G503" s="3" t="s">
        <v>3658</v>
      </c>
      <c r="H503" s="7">
        <v>44806</v>
      </c>
      <c r="I503" s="6">
        <v>368145</v>
      </c>
      <c r="J503" s="6">
        <v>66266</v>
      </c>
      <c r="K503" s="4">
        <v>29420090</v>
      </c>
      <c r="L503" s="3" t="s">
        <v>31</v>
      </c>
      <c r="M503" s="3" t="s">
        <v>516</v>
      </c>
      <c r="N503" s="5">
        <f t="shared" si="7"/>
        <v>17.999972836789851</v>
      </c>
    </row>
    <row r="504" spans="1:14" ht="14.4" x14ac:dyDescent="0.3">
      <c r="A504" s="3" t="s">
        <v>1663</v>
      </c>
      <c r="B504" s="3" t="s">
        <v>178</v>
      </c>
      <c r="C504" s="3" t="s">
        <v>20</v>
      </c>
      <c r="D504" s="3" t="s">
        <v>50</v>
      </c>
      <c r="E504" s="3" t="s">
        <v>22</v>
      </c>
      <c r="F504" s="3" t="s">
        <v>1664</v>
      </c>
      <c r="G504" s="3" t="s">
        <v>3659</v>
      </c>
      <c r="H504" s="7">
        <v>44806</v>
      </c>
      <c r="I504" s="6">
        <v>73735</v>
      </c>
      <c r="J504" s="6">
        <v>13272.3</v>
      </c>
      <c r="K504" s="4">
        <v>76071995</v>
      </c>
      <c r="L504" s="3" t="s">
        <v>180</v>
      </c>
      <c r="M504" s="3" t="s">
        <v>516</v>
      </c>
      <c r="N504" s="5">
        <f t="shared" si="7"/>
        <v>18</v>
      </c>
    </row>
    <row r="505" spans="1:14" ht="14.4" x14ac:dyDescent="0.3">
      <c r="A505" s="3" t="s">
        <v>1665</v>
      </c>
      <c r="B505" s="3" t="s">
        <v>394</v>
      </c>
      <c r="C505" s="3" t="s">
        <v>26</v>
      </c>
      <c r="D505" s="3" t="s">
        <v>95</v>
      </c>
      <c r="E505" s="3" t="s">
        <v>22</v>
      </c>
      <c r="F505" s="3" t="s">
        <v>1666</v>
      </c>
      <c r="G505" s="3" t="s">
        <v>3660</v>
      </c>
      <c r="H505" s="7">
        <v>44806</v>
      </c>
      <c r="I505" s="6">
        <v>213719.95</v>
      </c>
      <c r="J505" s="6">
        <v>36717.22</v>
      </c>
      <c r="K505" s="4">
        <v>48192090</v>
      </c>
      <c r="L505" s="3" t="s">
        <v>97</v>
      </c>
      <c r="M505" s="3" t="s">
        <v>516</v>
      </c>
      <c r="N505" s="5">
        <f t="shared" si="7"/>
        <v>17.180062039131116</v>
      </c>
    </row>
    <row r="506" spans="1:14" ht="14.4" x14ac:dyDescent="0.3">
      <c r="A506" s="3" t="s">
        <v>1667</v>
      </c>
      <c r="B506" s="3" t="s">
        <v>25</v>
      </c>
      <c r="C506" s="3" t="s">
        <v>26</v>
      </c>
      <c r="D506" s="3" t="s">
        <v>27</v>
      </c>
      <c r="E506" s="3" t="s">
        <v>28</v>
      </c>
      <c r="F506" s="3" t="s">
        <v>1668</v>
      </c>
      <c r="G506" s="3" t="s">
        <v>3661</v>
      </c>
      <c r="H506" s="7">
        <v>44805</v>
      </c>
      <c r="I506" s="6">
        <v>870000</v>
      </c>
      <c r="J506" s="6">
        <v>156600</v>
      </c>
      <c r="K506" s="4">
        <v>29419090</v>
      </c>
      <c r="L506" s="3" t="s">
        <v>1669</v>
      </c>
      <c r="M506" s="3" t="s">
        <v>280</v>
      </c>
      <c r="N506" s="5">
        <f t="shared" si="7"/>
        <v>18</v>
      </c>
    </row>
    <row r="507" spans="1:14" ht="14.4" x14ac:dyDescent="0.3">
      <c r="A507" s="3" t="s">
        <v>1670</v>
      </c>
      <c r="B507" s="3" t="s">
        <v>161</v>
      </c>
      <c r="C507" s="3" t="s">
        <v>56</v>
      </c>
      <c r="D507" s="3" t="s">
        <v>57</v>
      </c>
      <c r="E507" s="3" t="s">
        <v>162</v>
      </c>
      <c r="F507" s="3" t="s">
        <v>1671</v>
      </c>
      <c r="G507" s="3" t="s">
        <v>3662</v>
      </c>
      <c r="H507" s="7">
        <v>44805</v>
      </c>
      <c r="I507" s="6">
        <v>304152</v>
      </c>
      <c r="J507" s="6">
        <v>54747.360000000001</v>
      </c>
      <c r="K507" s="4">
        <v>29420090</v>
      </c>
      <c r="L507" s="3" t="s">
        <v>1672</v>
      </c>
      <c r="M507" s="3" t="s">
        <v>280</v>
      </c>
      <c r="N507" s="5">
        <f t="shared" si="7"/>
        <v>18</v>
      </c>
    </row>
    <row r="508" spans="1:14" ht="14.4" x14ac:dyDescent="0.3">
      <c r="A508" s="3" t="s">
        <v>1673</v>
      </c>
      <c r="B508" s="3" t="s">
        <v>145</v>
      </c>
      <c r="C508" s="3" t="s">
        <v>20</v>
      </c>
      <c r="D508" s="3" t="s">
        <v>762</v>
      </c>
      <c r="E508" s="3" t="s">
        <v>22</v>
      </c>
      <c r="F508" s="3" t="s">
        <v>1674</v>
      </c>
      <c r="G508" s="3" t="s">
        <v>3663</v>
      </c>
      <c r="H508" s="7">
        <v>44805</v>
      </c>
      <c r="I508" s="6">
        <v>253500</v>
      </c>
      <c r="J508" s="6">
        <v>30420</v>
      </c>
      <c r="K508" s="4">
        <v>11081200</v>
      </c>
      <c r="L508" s="3"/>
      <c r="M508" s="3" t="s">
        <v>1037</v>
      </c>
      <c r="N508" s="5">
        <f t="shared" si="7"/>
        <v>12</v>
      </c>
    </row>
    <row r="509" spans="1:14" ht="14.4" x14ac:dyDescent="0.3">
      <c r="A509" s="3" t="s">
        <v>1675</v>
      </c>
      <c r="B509" s="3" t="s">
        <v>55</v>
      </c>
      <c r="C509" s="3" t="s">
        <v>56</v>
      </c>
      <c r="D509" s="3" t="s">
        <v>57</v>
      </c>
      <c r="E509" s="3" t="s">
        <v>22</v>
      </c>
      <c r="F509" s="3" t="s">
        <v>1676</v>
      </c>
      <c r="G509" s="3" t="s">
        <v>3664</v>
      </c>
      <c r="H509" s="7">
        <v>44804</v>
      </c>
      <c r="I509" s="6">
        <v>111350</v>
      </c>
      <c r="J509" s="6">
        <v>20043</v>
      </c>
      <c r="K509" s="4">
        <v>96020030</v>
      </c>
      <c r="L509" s="3"/>
      <c r="M509" s="3" t="s">
        <v>36</v>
      </c>
      <c r="N509" s="5">
        <f t="shared" si="7"/>
        <v>18</v>
      </c>
    </row>
    <row r="510" spans="1:14" ht="14.4" x14ac:dyDescent="0.3">
      <c r="A510" s="3" t="s">
        <v>1677</v>
      </c>
      <c r="B510" s="3" t="s">
        <v>178</v>
      </c>
      <c r="C510" s="3" t="s">
        <v>20</v>
      </c>
      <c r="D510" s="3" t="s">
        <v>50</v>
      </c>
      <c r="E510" s="3" t="s">
        <v>22</v>
      </c>
      <c r="F510" s="3" t="s">
        <v>1678</v>
      </c>
      <c r="G510" s="3" t="s">
        <v>3665</v>
      </c>
      <c r="H510" s="7">
        <v>44804</v>
      </c>
      <c r="I510" s="6">
        <v>58481.26</v>
      </c>
      <c r="J510" s="6">
        <v>10526.62</v>
      </c>
      <c r="K510" s="4">
        <v>76071995</v>
      </c>
      <c r="L510" s="3" t="s">
        <v>180</v>
      </c>
      <c r="M510" s="3" t="s">
        <v>36</v>
      </c>
      <c r="N510" s="5">
        <f t="shared" si="7"/>
        <v>17.999988372343552</v>
      </c>
    </row>
    <row r="511" spans="1:14" ht="14.4" x14ac:dyDescent="0.3">
      <c r="A511" s="3" t="s">
        <v>1679</v>
      </c>
      <c r="B511" s="3" t="s">
        <v>315</v>
      </c>
      <c r="C511" s="3" t="s">
        <v>316</v>
      </c>
      <c r="D511" s="3" t="s">
        <v>292</v>
      </c>
      <c r="E511" s="3" t="s">
        <v>317</v>
      </c>
      <c r="F511" s="3" t="s">
        <v>1680</v>
      </c>
      <c r="G511" s="3" t="s">
        <v>3666</v>
      </c>
      <c r="H511" s="7">
        <v>44830</v>
      </c>
      <c r="I511" s="6">
        <v>300125</v>
      </c>
      <c r="J511" s="6">
        <v>54022.5</v>
      </c>
      <c r="K511" s="4">
        <v>29319090</v>
      </c>
      <c r="L511" s="3"/>
      <c r="M511" s="3" t="s">
        <v>280</v>
      </c>
      <c r="N511" s="5">
        <f t="shared" si="7"/>
        <v>18</v>
      </c>
    </row>
    <row r="512" spans="1:14" ht="14.4" x14ac:dyDescent="0.3">
      <c r="A512" s="3" t="s">
        <v>1681</v>
      </c>
      <c r="B512" s="3" t="s">
        <v>686</v>
      </c>
      <c r="C512" s="3" t="s">
        <v>134</v>
      </c>
      <c r="D512" s="3" t="s">
        <v>687</v>
      </c>
      <c r="E512" s="3" t="s">
        <v>80</v>
      </c>
      <c r="F512" s="3" t="s">
        <v>1682</v>
      </c>
      <c r="G512" s="3">
        <v>320</v>
      </c>
      <c r="H512" s="7">
        <v>44826</v>
      </c>
      <c r="I512" s="6">
        <v>432432</v>
      </c>
      <c r="J512" s="6">
        <v>77838</v>
      </c>
      <c r="K512" s="4">
        <v>29420090</v>
      </c>
      <c r="L512" s="3"/>
      <c r="M512" s="3" t="s">
        <v>36</v>
      </c>
      <c r="N512" s="5">
        <f t="shared" si="7"/>
        <v>18.000055500055499</v>
      </c>
    </row>
    <row r="513" spans="1:14" ht="14.4" x14ac:dyDescent="0.3">
      <c r="A513" s="3" t="s">
        <v>1683</v>
      </c>
      <c r="B513" s="3" t="s">
        <v>1684</v>
      </c>
      <c r="C513" s="3" t="s">
        <v>20</v>
      </c>
      <c r="D513" s="3" t="s">
        <v>292</v>
      </c>
      <c r="E513" s="3" t="s">
        <v>80</v>
      </c>
      <c r="F513" s="3" t="s">
        <v>1685</v>
      </c>
      <c r="G513" s="3" t="s">
        <v>3667</v>
      </c>
      <c r="H513" s="7">
        <v>44827</v>
      </c>
      <c r="I513" s="6">
        <v>700000</v>
      </c>
      <c r="J513" s="6">
        <v>126000</v>
      </c>
      <c r="K513" s="4">
        <v>29411030</v>
      </c>
      <c r="L513" s="3" t="s">
        <v>1686</v>
      </c>
      <c r="M513" s="3"/>
      <c r="N513" s="5">
        <f t="shared" si="7"/>
        <v>18</v>
      </c>
    </row>
    <row r="514" spans="1:14" ht="14.4" x14ac:dyDescent="0.3">
      <c r="A514" s="3" t="s">
        <v>1687</v>
      </c>
      <c r="B514" s="3" t="s">
        <v>295</v>
      </c>
      <c r="C514" s="3" t="s">
        <v>296</v>
      </c>
      <c r="D514" s="3" t="s">
        <v>1688</v>
      </c>
      <c r="E514" s="3" t="s">
        <v>298</v>
      </c>
      <c r="F514" s="3" t="s">
        <v>1689</v>
      </c>
      <c r="G514" s="3" t="s">
        <v>3668</v>
      </c>
      <c r="H514" s="7">
        <v>44828</v>
      </c>
      <c r="I514" s="6">
        <v>279000</v>
      </c>
      <c r="J514" s="6">
        <v>50220</v>
      </c>
      <c r="K514" s="4">
        <v>29411030</v>
      </c>
      <c r="L514" s="3" t="s">
        <v>300</v>
      </c>
      <c r="M514" s="3" t="s">
        <v>36</v>
      </c>
      <c r="N514" s="5">
        <f t="shared" si="7"/>
        <v>18</v>
      </c>
    </row>
    <row r="515" spans="1:14" ht="14.4" x14ac:dyDescent="0.3">
      <c r="A515" s="3" t="s">
        <v>1690</v>
      </c>
      <c r="B515" s="3" t="s">
        <v>690</v>
      </c>
      <c r="C515" s="3" t="s">
        <v>691</v>
      </c>
      <c r="D515" s="3" t="s">
        <v>372</v>
      </c>
      <c r="E515" s="3" t="s">
        <v>298</v>
      </c>
      <c r="F515" s="3" t="s">
        <v>1691</v>
      </c>
      <c r="G515" s="3" t="s">
        <v>3669</v>
      </c>
      <c r="H515" s="7">
        <v>44823</v>
      </c>
      <c r="I515" s="6">
        <v>2469582</v>
      </c>
      <c r="J515" s="6">
        <v>444524.76</v>
      </c>
      <c r="K515" s="4">
        <v>29415000</v>
      </c>
      <c r="L515" s="3" t="s">
        <v>1692</v>
      </c>
      <c r="M515" s="3" t="s">
        <v>516</v>
      </c>
      <c r="N515" s="5">
        <f t="shared" ref="N515:N578" si="8">J515*100/I515</f>
        <v>18</v>
      </c>
    </row>
    <row r="516" spans="1:14" ht="14.4" x14ac:dyDescent="0.3">
      <c r="A516" s="3" t="s">
        <v>1693</v>
      </c>
      <c r="B516" s="3" t="s">
        <v>315</v>
      </c>
      <c r="C516" s="3" t="s">
        <v>316</v>
      </c>
      <c r="D516" s="3" t="s">
        <v>292</v>
      </c>
      <c r="E516" s="3" t="s">
        <v>317</v>
      </c>
      <c r="F516" s="3" t="s">
        <v>1694</v>
      </c>
      <c r="G516" s="3" t="s">
        <v>3670</v>
      </c>
      <c r="H516" s="7">
        <v>44823</v>
      </c>
      <c r="I516" s="6">
        <v>182500</v>
      </c>
      <c r="J516" s="6">
        <v>32850</v>
      </c>
      <c r="K516" s="4">
        <v>29225090</v>
      </c>
      <c r="L516" s="3"/>
      <c r="M516" s="3" t="s">
        <v>32</v>
      </c>
      <c r="N516" s="5">
        <f t="shared" si="8"/>
        <v>18</v>
      </c>
    </row>
    <row r="517" spans="1:14" ht="14.4" x14ac:dyDescent="0.3">
      <c r="A517" s="3" t="s">
        <v>1695</v>
      </c>
      <c r="B517" s="3" t="s">
        <v>1696</v>
      </c>
      <c r="C517" s="3" t="s">
        <v>134</v>
      </c>
      <c r="D517" s="3" t="s">
        <v>1697</v>
      </c>
      <c r="E517" s="3" t="s">
        <v>22</v>
      </c>
      <c r="F517" s="3" t="s">
        <v>1698</v>
      </c>
      <c r="G517" s="3" t="s">
        <v>3671</v>
      </c>
      <c r="H517" s="7">
        <v>44818</v>
      </c>
      <c r="I517" s="6">
        <v>320000</v>
      </c>
      <c r="J517" s="6">
        <v>57600</v>
      </c>
      <c r="K517" s="4">
        <v>29349900</v>
      </c>
      <c r="L517" s="3" t="s">
        <v>1699</v>
      </c>
      <c r="M517" s="3" t="s">
        <v>32</v>
      </c>
      <c r="N517" s="5">
        <f t="shared" si="8"/>
        <v>18</v>
      </c>
    </row>
    <row r="518" spans="1:14" ht="14.4" x14ac:dyDescent="0.3">
      <c r="A518" s="3" t="s">
        <v>1700</v>
      </c>
      <c r="B518" s="3" t="s">
        <v>1701</v>
      </c>
      <c r="C518" s="3" t="s">
        <v>1702</v>
      </c>
      <c r="D518" s="3" t="s">
        <v>347</v>
      </c>
      <c r="E518" s="3" t="s">
        <v>285</v>
      </c>
      <c r="F518" s="3" t="s">
        <v>1703</v>
      </c>
      <c r="G518" s="3" t="s">
        <v>3672</v>
      </c>
      <c r="H518" s="7">
        <v>44819</v>
      </c>
      <c r="I518" s="6">
        <v>78000</v>
      </c>
      <c r="J518" s="6">
        <v>14040</v>
      </c>
      <c r="K518" s="4">
        <v>39129090</v>
      </c>
      <c r="L518" s="3" t="s">
        <v>1704</v>
      </c>
      <c r="M518" s="3" t="s">
        <v>36</v>
      </c>
      <c r="N518" s="5">
        <f t="shared" si="8"/>
        <v>18</v>
      </c>
    </row>
    <row r="519" spans="1:14" ht="14.4" x14ac:dyDescent="0.3">
      <c r="A519" s="3" t="s">
        <v>1705</v>
      </c>
      <c r="B519" s="3" t="s">
        <v>325</v>
      </c>
      <c r="C519" s="3" t="s">
        <v>134</v>
      </c>
      <c r="D519" s="3" t="s">
        <v>326</v>
      </c>
      <c r="E519" s="3" t="s">
        <v>80</v>
      </c>
      <c r="F519" s="3" t="s">
        <v>1706</v>
      </c>
      <c r="G519" s="3">
        <v>1573</v>
      </c>
      <c r="H519" s="7">
        <v>44819</v>
      </c>
      <c r="I519" s="6">
        <v>55528</v>
      </c>
      <c r="J519" s="6">
        <v>9995</v>
      </c>
      <c r="K519" s="4">
        <v>29420090</v>
      </c>
      <c r="L519" s="3" t="s">
        <v>1707</v>
      </c>
      <c r="M519" s="3" t="s">
        <v>1708</v>
      </c>
      <c r="N519" s="5">
        <f t="shared" si="8"/>
        <v>17.999927964270277</v>
      </c>
    </row>
    <row r="520" spans="1:14" ht="14.4" x14ac:dyDescent="0.3">
      <c r="A520" s="3" t="s">
        <v>1709</v>
      </c>
      <c r="B520" s="3" t="s">
        <v>1710</v>
      </c>
      <c r="C520" s="3" t="s">
        <v>1711</v>
      </c>
      <c r="D520" s="3" t="s">
        <v>292</v>
      </c>
      <c r="E520" s="3" t="s">
        <v>1712</v>
      </c>
      <c r="F520" s="3" t="s">
        <v>1713</v>
      </c>
      <c r="G520" s="3" t="s">
        <v>3673</v>
      </c>
      <c r="H520" s="7">
        <v>44818</v>
      </c>
      <c r="I520" s="6">
        <v>363000</v>
      </c>
      <c r="J520" s="6">
        <v>65340</v>
      </c>
      <c r="K520" s="4">
        <v>29393000</v>
      </c>
      <c r="L520" s="3" t="s">
        <v>1714</v>
      </c>
      <c r="M520" s="3" t="s">
        <v>98</v>
      </c>
      <c r="N520" s="5">
        <f t="shared" si="8"/>
        <v>18</v>
      </c>
    </row>
    <row r="521" spans="1:14" ht="14.4" x14ac:dyDescent="0.3">
      <c r="A521" s="3" t="s">
        <v>1715</v>
      </c>
      <c r="B521" s="3" t="s">
        <v>295</v>
      </c>
      <c r="C521" s="3" t="s">
        <v>296</v>
      </c>
      <c r="D521" s="3" t="s">
        <v>1688</v>
      </c>
      <c r="E521" s="3" t="s">
        <v>298</v>
      </c>
      <c r="F521" s="3" t="s">
        <v>1716</v>
      </c>
      <c r="G521" s="3" t="s">
        <v>3674</v>
      </c>
      <c r="H521" s="7">
        <v>44820</v>
      </c>
      <c r="I521" s="6">
        <v>1395000</v>
      </c>
      <c r="J521" s="6">
        <v>251100</v>
      </c>
      <c r="K521" s="4">
        <v>29411030</v>
      </c>
      <c r="L521" s="3" t="s">
        <v>300</v>
      </c>
      <c r="M521" s="3" t="s">
        <v>36</v>
      </c>
      <c r="N521" s="5">
        <f t="shared" si="8"/>
        <v>18</v>
      </c>
    </row>
    <row r="522" spans="1:14" ht="14.4" x14ac:dyDescent="0.3">
      <c r="A522" s="3" t="s">
        <v>1717</v>
      </c>
      <c r="B522" s="3" t="s">
        <v>290</v>
      </c>
      <c r="C522" s="3" t="s">
        <v>291</v>
      </c>
      <c r="D522" s="3" t="s">
        <v>292</v>
      </c>
      <c r="E522" s="3" t="s">
        <v>22</v>
      </c>
      <c r="F522" s="3" t="s">
        <v>1718</v>
      </c>
      <c r="G522" s="3">
        <v>222631</v>
      </c>
      <c r="H522" s="7">
        <v>44814</v>
      </c>
      <c r="I522" s="6">
        <v>69484.5</v>
      </c>
      <c r="J522" s="6">
        <v>12507.21</v>
      </c>
      <c r="K522" s="4">
        <v>29339990</v>
      </c>
      <c r="L522" s="3"/>
      <c r="M522" s="3" t="s">
        <v>72</v>
      </c>
      <c r="N522" s="5">
        <f t="shared" si="8"/>
        <v>18</v>
      </c>
    </row>
    <row r="523" spans="1:14" ht="14.4" x14ac:dyDescent="0.3">
      <c r="A523" s="3" t="s">
        <v>1719</v>
      </c>
      <c r="B523" s="3" t="s">
        <v>295</v>
      </c>
      <c r="C523" s="3" t="s">
        <v>296</v>
      </c>
      <c r="D523" s="3" t="s">
        <v>297</v>
      </c>
      <c r="E523" s="3" t="s">
        <v>298</v>
      </c>
      <c r="F523" s="3" t="s">
        <v>1720</v>
      </c>
      <c r="G523" s="3" t="s">
        <v>3675</v>
      </c>
      <c r="H523" s="7">
        <v>44816</v>
      </c>
      <c r="I523" s="6">
        <v>145000</v>
      </c>
      <c r="J523" s="6">
        <v>26100</v>
      </c>
      <c r="K523" s="4">
        <v>29419020</v>
      </c>
      <c r="L523" s="3" t="s">
        <v>1207</v>
      </c>
      <c r="M523" s="3" t="s">
        <v>675</v>
      </c>
      <c r="N523" s="5">
        <f t="shared" si="8"/>
        <v>18</v>
      </c>
    </row>
    <row r="524" spans="1:14" ht="14.4" x14ac:dyDescent="0.3">
      <c r="A524" s="3" t="s">
        <v>1721</v>
      </c>
      <c r="B524" s="3" t="s">
        <v>1722</v>
      </c>
      <c r="C524" s="3" t="s">
        <v>946</v>
      </c>
      <c r="D524" s="3" t="s">
        <v>1217</v>
      </c>
      <c r="E524" s="3" t="s">
        <v>1723</v>
      </c>
      <c r="F524" s="3" t="s">
        <v>1724</v>
      </c>
      <c r="G524" s="3" t="s">
        <v>3676</v>
      </c>
      <c r="H524" s="7">
        <v>44814</v>
      </c>
      <c r="I524" s="6">
        <v>43794</v>
      </c>
      <c r="J524" s="6">
        <v>7882.92</v>
      </c>
      <c r="K524" s="4">
        <v>2933</v>
      </c>
      <c r="L524" s="3" t="s">
        <v>1725</v>
      </c>
      <c r="M524" s="3" t="s">
        <v>280</v>
      </c>
      <c r="N524" s="5">
        <f t="shared" si="8"/>
        <v>18</v>
      </c>
    </row>
    <row r="525" spans="1:14" ht="14.4" x14ac:dyDescent="0.3">
      <c r="A525" s="3" t="s">
        <v>1726</v>
      </c>
      <c r="B525" s="3" t="s">
        <v>1696</v>
      </c>
      <c r="C525" s="3" t="s">
        <v>134</v>
      </c>
      <c r="D525" s="3" t="s">
        <v>1697</v>
      </c>
      <c r="E525" s="3" t="s">
        <v>22</v>
      </c>
      <c r="F525" s="3" t="s">
        <v>1727</v>
      </c>
      <c r="G525" s="3" t="s">
        <v>3677</v>
      </c>
      <c r="H525" s="7">
        <v>44810</v>
      </c>
      <c r="I525" s="6">
        <v>512000</v>
      </c>
      <c r="J525" s="6">
        <v>92160</v>
      </c>
      <c r="K525" s="4">
        <v>29349900</v>
      </c>
      <c r="L525" s="3" t="s">
        <v>1699</v>
      </c>
      <c r="M525" s="3" t="s">
        <v>280</v>
      </c>
      <c r="N525" s="5">
        <f t="shared" si="8"/>
        <v>18</v>
      </c>
    </row>
    <row r="526" spans="1:14" ht="14.4" x14ac:dyDescent="0.3">
      <c r="A526" s="3" t="s">
        <v>1728</v>
      </c>
      <c r="B526" s="3" t="s">
        <v>1729</v>
      </c>
      <c r="C526" s="3" t="s">
        <v>20</v>
      </c>
      <c r="D526" s="3" t="s">
        <v>352</v>
      </c>
      <c r="E526" s="3" t="s">
        <v>22</v>
      </c>
      <c r="F526" s="3" t="s">
        <v>1730</v>
      </c>
      <c r="G526" s="3">
        <v>222568</v>
      </c>
      <c r="H526" s="7">
        <v>44810</v>
      </c>
      <c r="I526" s="6">
        <v>44472</v>
      </c>
      <c r="J526" s="6">
        <v>8004.96</v>
      </c>
      <c r="K526" s="4">
        <v>29420090</v>
      </c>
      <c r="L526" s="3" t="s">
        <v>1731</v>
      </c>
      <c r="M526" s="3" t="s">
        <v>72</v>
      </c>
      <c r="N526" s="5">
        <f t="shared" si="8"/>
        <v>18</v>
      </c>
    </row>
    <row r="527" spans="1:14" ht="14.4" x14ac:dyDescent="0.3">
      <c r="A527" s="3" t="s">
        <v>1732</v>
      </c>
      <c r="B527" s="3" t="s">
        <v>336</v>
      </c>
      <c r="C527" s="3" t="s">
        <v>134</v>
      </c>
      <c r="D527" s="3" t="s">
        <v>292</v>
      </c>
      <c r="E527" s="3" t="s">
        <v>188</v>
      </c>
      <c r="F527" s="3" t="s">
        <v>1733</v>
      </c>
      <c r="G527" s="3">
        <v>1761</v>
      </c>
      <c r="H527" s="7">
        <v>44810</v>
      </c>
      <c r="I527" s="6">
        <v>59810</v>
      </c>
      <c r="J527" s="6">
        <v>10765.8</v>
      </c>
      <c r="K527" s="4">
        <v>29420090</v>
      </c>
      <c r="L527" s="3" t="s">
        <v>1734</v>
      </c>
      <c r="M527" s="3" t="s">
        <v>597</v>
      </c>
      <c r="N527" s="5">
        <f t="shared" si="8"/>
        <v>18</v>
      </c>
    </row>
    <row r="528" spans="1:14" ht="14.4" x14ac:dyDescent="0.3">
      <c r="A528" s="3" t="s">
        <v>1735</v>
      </c>
      <c r="B528" s="3" t="s">
        <v>1161</v>
      </c>
      <c r="C528" s="3" t="s">
        <v>20</v>
      </c>
      <c r="D528" s="3" t="s">
        <v>1162</v>
      </c>
      <c r="E528" s="3" t="s">
        <v>1532</v>
      </c>
      <c r="F528" s="3" t="s">
        <v>1736</v>
      </c>
      <c r="G528" s="3" t="s">
        <v>3678</v>
      </c>
      <c r="H528" s="7">
        <v>44810</v>
      </c>
      <c r="I528" s="6">
        <v>270000</v>
      </c>
      <c r="J528" s="6">
        <v>48600</v>
      </c>
      <c r="K528" s="4">
        <v>29321990</v>
      </c>
      <c r="L528" s="3" t="s">
        <v>365</v>
      </c>
      <c r="M528" s="3" t="s">
        <v>675</v>
      </c>
      <c r="N528" s="5">
        <f t="shared" si="8"/>
        <v>18</v>
      </c>
    </row>
    <row r="529" spans="1:14" ht="14.4" x14ac:dyDescent="0.3">
      <c r="A529" s="3" t="s">
        <v>1737</v>
      </c>
      <c r="B529" s="3" t="s">
        <v>1161</v>
      </c>
      <c r="C529" s="3" t="s">
        <v>20</v>
      </c>
      <c r="D529" s="3" t="s">
        <v>1162</v>
      </c>
      <c r="E529" s="3" t="s">
        <v>22</v>
      </c>
      <c r="F529" s="3" t="s">
        <v>1738</v>
      </c>
      <c r="G529" s="3" t="s">
        <v>3679</v>
      </c>
      <c r="H529" s="7">
        <v>44807</v>
      </c>
      <c r="I529" s="6">
        <v>99500</v>
      </c>
      <c r="J529" s="6">
        <v>17910</v>
      </c>
      <c r="K529" s="4">
        <v>29420090</v>
      </c>
      <c r="L529" s="3" t="s">
        <v>365</v>
      </c>
      <c r="M529" s="3" t="s">
        <v>675</v>
      </c>
      <c r="N529" s="5">
        <f t="shared" si="8"/>
        <v>18</v>
      </c>
    </row>
    <row r="530" spans="1:14" ht="14.4" x14ac:dyDescent="0.3">
      <c r="A530" s="3" t="s">
        <v>1739</v>
      </c>
      <c r="B530" s="3" t="s">
        <v>295</v>
      </c>
      <c r="C530" s="3" t="s">
        <v>296</v>
      </c>
      <c r="D530" s="3" t="s">
        <v>297</v>
      </c>
      <c r="E530" s="3" t="s">
        <v>298</v>
      </c>
      <c r="F530" s="3" t="s">
        <v>1740</v>
      </c>
      <c r="G530" s="3" t="s">
        <v>3680</v>
      </c>
      <c r="H530" s="7">
        <v>44807</v>
      </c>
      <c r="I530" s="6">
        <v>290000</v>
      </c>
      <c r="J530" s="6">
        <v>52200</v>
      </c>
      <c r="K530" s="4">
        <v>29419020</v>
      </c>
      <c r="L530" s="3" t="s">
        <v>1207</v>
      </c>
      <c r="M530" s="3" t="s">
        <v>32</v>
      </c>
      <c r="N530" s="5">
        <f t="shared" si="8"/>
        <v>18</v>
      </c>
    </row>
    <row r="531" spans="1:14" ht="14.4" x14ac:dyDescent="0.3">
      <c r="A531" s="3" t="s">
        <v>1741</v>
      </c>
      <c r="B531" s="3" t="s">
        <v>303</v>
      </c>
      <c r="C531" s="3" t="s">
        <v>304</v>
      </c>
      <c r="D531" s="3" t="s">
        <v>305</v>
      </c>
      <c r="E531" s="3" t="s">
        <v>15</v>
      </c>
      <c r="F531" s="3" t="s">
        <v>1742</v>
      </c>
      <c r="G531" s="3" t="s">
        <v>3681</v>
      </c>
      <c r="H531" s="7">
        <v>44805</v>
      </c>
      <c r="I531" s="6">
        <v>830000</v>
      </c>
      <c r="J531" s="6">
        <v>149400</v>
      </c>
      <c r="K531" s="4">
        <v>29419090</v>
      </c>
      <c r="L531" s="3" t="s">
        <v>307</v>
      </c>
      <c r="M531" s="3" t="s">
        <v>675</v>
      </c>
      <c r="N531" s="5">
        <f t="shared" si="8"/>
        <v>18</v>
      </c>
    </row>
    <row r="532" spans="1:14" ht="14.4" x14ac:dyDescent="0.3">
      <c r="A532" s="3" t="s">
        <v>1743</v>
      </c>
      <c r="B532" s="3" t="s">
        <v>690</v>
      </c>
      <c r="C532" s="3" t="s">
        <v>691</v>
      </c>
      <c r="D532" s="3" t="s">
        <v>372</v>
      </c>
      <c r="E532" s="3" t="s">
        <v>298</v>
      </c>
      <c r="F532" s="3" t="s">
        <v>1744</v>
      </c>
      <c r="G532" s="3" t="s">
        <v>3682</v>
      </c>
      <c r="H532" s="7">
        <v>44831</v>
      </c>
      <c r="I532" s="6">
        <v>550000</v>
      </c>
      <c r="J532" s="6">
        <v>99000</v>
      </c>
      <c r="K532" s="4">
        <v>29419020</v>
      </c>
      <c r="L532" s="3" t="s">
        <v>1745</v>
      </c>
      <c r="M532" s="3" t="s">
        <v>1746</v>
      </c>
      <c r="N532" s="5">
        <f t="shared" si="8"/>
        <v>18</v>
      </c>
    </row>
    <row r="533" spans="1:14" ht="14.4" x14ac:dyDescent="0.3">
      <c r="A533" s="3" t="s">
        <v>1747</v>
      </c>
      <c r="B533" s="3" t="s">
        <v>1220</v>
      </c>
      <c r="C533" s="3" t="s">
        <v>20</v>
      </c>
      <c r="D533" s="3" t="s">
        <v>1221</v>
      </c>
      <c r="E533" s="3" t="s">
        <v>1222</v>
      </c>
      <c r="F533" s="3" t="s">
        <v>1748</v>
      </c>
      <c r="G533" s="3" t="s">
        <v>3683</v>
      </c>
      <c r="H533" s="7">
        <v>44831</v>
      </c>
      <c r="I533" s="6">
        <v>80000</v>
      </c>
      <c r="J533" s="6">
        <v>14400</v>
      </c>
      <c r="K533" s="4">
        <v>29157090</v>
      </c>
      <c r="L533" s="3" t="s">
        <v>1224</v>
      </c>
      <c r="M533" s="3" t="s">
        <v>1749</v>
      </c>
      <c r="N533" s="5">
        <f t="shared" si="8"/>
        <v>18</v>
      </c>
    </row>
    <row r="534" spans="1:14" ht="14.4" x14ac:dyDescent="0.3">
      <c r="A534" s="3" t="s">
        <v>1750</v>
      </c>
      <c r="B534" s="3" t="s">
        <v>1178</v>
      </c>
      <c r="C534" s="3" t="s">
        <v>376</v>
      </c>
      <c r="D534" s="3" t="s">
        <v>292</v>
      </c>
      <c r="E534" s="3" t="s">
        <v>80</v>
      </c>
      <c r="F534" s="3" t="s">
        <v>1751</v>
      </c>
      <c r="G534" s="3" t="s">
        <v>3684</v>
      </c>
      <c r="H534" s="7">
        <v>44824</v>
      </c>
      <c r="I534" s="6">
        <v>61000</v>
      </c>
      <c r="J534" s="6">
        <v>10980</v>
      </c>
      <c r="K534" s="4">
        <v>29332990</v>
      </c>
      <c r="L534" s="3" t="s">
        <v>1752</v>
      </c>
      <c r="M534" s="3" t="s">
        <v>36</v>
      </c>
      <c r="N534" s="5">
        <f t="shared" si="8"/>
        <v>18</v>
      </c>
    </row>
    <row r="535" spans="1:14" ht="14.4" x14ac:dyDescent="0.3">
      <c r="A535" s="3" t="s">
        <v>1753</v>
      </c>
      <c r="B535" s="3" t="s">
        <v>309</v>
      </c>
      <c r="C535" s="3" t="s">
        <v>310</v>
      </c>
      <c r="D535" s="3" t="s">
        <v>311</v>
      </c>
      <c r="E535" s="3" t="s">
        <v>80</v>
      </c>
      <c r="F535" s="3" t="s">
        <v>1754</v>
      </c>
      <c r="G535" s="3" t="s">
        <v>3685</v>
      </c>
      <c r="H535" s="7">
        <v>44825</v>
      </c>
      <c r="I535" s="6">
        <v>157500</v>
      </c>
      <c r="J535" s="6">
        <v>28350</v>
      </c>
      <c r="K535" s="4">
        <v>29335990</v>
      </c>
      <c r="L535" s="3" t="s">
        <v>313</v>
      </c>
      <c r="M535" s="3" t="s">
        <v>36</v>
      </c>
      <c r="N535" s="5">
        <f t="shared" si="8"/>
        <v>18</v>
      </c>
    </row>
    <row r="536" spans="1:14" ht="14.4" x14ac:dyDescent="0.3">
      <c r="A536" s="3" t="s">
        <v>1755</v>
      </c>
      <c r="B536" s="3" t="s">
        <v>1161</v>
      </c>
      <c r="C536" s="3" t="s">
        <v>20</v>
      </c>
      <c r="D536" s="3" t="s">
        <v>1162</v>
      </c>
      <c r="E536" s="3" t="s">
        <v>22</v>
      </c>
      <c r="F536" s="3" t="s">
        <v>1756</v>
      </c>
      <c r="G536" s="3" t="s">
        <v>3686</v>
      </c>
      <c r="H536" s="7">
        <v>44821</v>
      </c>
      <c r="I536" s="6">
        <v>83750</v>
      </c>
      <c r="J536" s="6">
        <v>15075</v>
      </c>
      <c r="K536" s="4">
        <v>29072200</v>
      </c>
      <c r="L536" s="3" t="s">
        <v>1164</v>
      </c>
      <c r="M536" s="3" t="s">
        <v>32</v>
      </c>
      <c r="N536" s="5">
        <f t="shared" si="8"/>
        <v>18</v>
      </c>
    </row>
    <row r="537" spans="1:14" ht="14.4" x14ac:dyDescent="0.3">
      <c r="A537" s="3" t="s">
        <v>1757</v>
      </c>
      <c r="B537" s="3" t="s">
        <v>290</v>
      </c>
      <c r="C537" s="3" t="s">
        <v>291</v>
      </c>
      <c r="D537" s="3" t="s">
        <v>292</v>
      </c>
      <c r="E537" s="3" t="s">
        <v>22</v>
      </c>
      <c r="F537" s="3" t="s">
        <v>1758</v>
      </c>
      <c r="G537" s="3">
        <v>222769</v>
      </c>
      <c r="H537" s="7">
        <v>44820</v>
      </c>
      <c r="I537" s="6">
        <v>45722.63</v>
      </c>
      <c r="J537" s="6">
        <v>8230.07</v>
      </c>
      <c r="K537" s="4">
        <v>29331990</v>
      </c>
      <c r="L537" s="3"/>
      <c r="M537" s="3" t="s">
        <v>1759</v>
      </c>
      <c r="N537" s="5">
        <f t="shared" si="8"/>
        <v>17.999992563857329</v>
      </c>
    </row>
    <row r="538" spans="1:14" ht="14.4" x14ac:dyDescent="0.3">
      <c r="A538" s="3" t="s">
        <v>1760</v>
      </c>
      <c r="B538" s="3" t="s">
        <v>315</v>
      </c>
      <c r="C538" s="3" t="s">
        <v>316</v>
      </c>
      <c r="D538" s="3" t="s">
        <v>292</v>
      </c>
      <c r="E538" s="3" t="s">
        <v>317</v>
      </c>
      <c r="F538" s="3" t="s">
        <v>1761</v>
      </c>
      <c r="G538" s="3" t="s">
        <v>3687</v>
      </c>
      <c r="H538" s="7">
        <v>44817</v>
      </c>
      <c r="I538" s="6">
        <v>76250</v>
      </c>
      <c r="J538" s="6">
        <v>13725</v>
      </c>
      <c r="K538" s="4">
        <v>29332990</v>
      </c>
      <c r="L538" s="3"/>
      <c r="M538" s="3" t="s">
        <v>36</v>
      </c>
      <c r="N538" s="5">
        <f t="shared" si="8"/>
        <v>18</v>
      </c>
    </row>
    <row r="539" spans="1:14" ht="14.4" x14ac:dyDescent="0.3">
      <c r="A539" s="3" t="s">
        <v>1762</v>
      </c>
      <c r="B539" s="3" t="s">
        <v>277</v>
      </c>
      <c r="C539" s="3" t="s">
        <v>20</v>
      </c>
      <c r="D539" s="3" t="s">
        <v>278</v>
      </c>
      <c r="E539" s="3" t="s">
        <v>22</v>
      </c>
      <c r="F539" s="3" t="s">
        <v>1763</v>
      </c>
      <c r="G539" s="3" t="s">
        <v>3688</v>
      </c>
      <c r="H539" s="7">
        <v>44826</v>
      </c>
      <c r="I539" s="6">
        <v>186250</v>
      </c>
      <c r="J539" s="6">
        <v>33525</v>
      </c>
      <c r="K539" s="4">
        <v>29420090</v>
      </c>
      <c r="L539" s="3"/>
      <c r="M539" s="3" t="s">
        <v>36</v>
      </c>
      <c r="N539" s="5">
        <f t="shared" si="8"/>
        <v>18</v>
      </c>
    </row>
    <row r="540" spans="1:14" ht="14.4" x14ac:dyDescent="0.3">
      <c r="A540" s="3" t="s">
        <v>1764</v>
      </c>
      <c r="B540" s="3" t="s">
        <v>1765</v>
      </c>
      <c r="C540" s="3" t="s">
        <v>20</v>
      </c>
      <c r="D540" s="3" t="s">
        <v>1766</v>
      </c>
      <c r="E540" s="3" t="s">
        <v>22</v>
      </c>
      <c r="F540" s="3" t="s">
        <v>1767</v>
      </c>
      <c r="G540" s="3" t="s">
        <v>3689</v>
      </c>
      <c r="H540" s="7">
        <v>44830</v>
      </c>
      <c r="I540" s="6">
        <v>214260</v>
      </c>
      <c r="J540" s="6">
        <v>38566.800000000003</v>
      </c>
      <c r="K540" s="4">
        <v>29333919</v>
      </c>
      <c r="L540" s="3" t="s">
        <v>1768</v>
      </c>
      <c r="M540" s="3" t="s">
        <v>936</v>
      </c>
      <c r="N540" s="5">
        <f t="shared" si="8"/>
        <v>18.000000000000004</v>
      </c>
    </row>
    <row r="541" spans="1:14" ht="14.4" x14ac:dyDescent="0.3">
      <c r="A541" s="3" t="s">
        <v>1769</v>
      </c>
      <c r="B541" s="3" t="s">
        <v>290</v>
      </c>
      <c r="C541" s="3" t="s">
        <v>291</v>
      </c>
      <c r="D541" s="3" t="s">
        <v>292</v>
      </c>
      <c r="E541" s="3" t="s">
        <v>22</v>
      </c>
      <c r="F541" s="3" t="s">
        <v>1770</v>
      </c>
      <c r="G541" s="3">
        <v>223368</v>
      </c>
      <c r="H541" s="7">
        <v>44851</v>
      </c>
      <c r="I541" s="6">
        <v>54401.86</v>
      </c>
      <c r="J541" s="6">
        <v>9792.33</v>
      </c>
      <c r="K541" s="4">
        <v>29339900</v>
      </c>
      <c r="L541" s="3"/>
      <c r="M541" s="3" t="s">
        <v>1771</v>
      </c>
      <c r="N541" s="5">
        <f t="shared" si="8"/>
        <v>17.999991176772266</v>
      </c>
    </row>
    <row r="542" spans="1:14" ht="14.4" x14ac:dyDescent="0.3">
      <c r="A542" s="3" t="s">
        <v>1772</v>
      </c>
      <c r="B542" s="3" t="s">
        <v>315</v>
      </c>
      <c r="C542" s="3" t="s">
        <v>316</v>
      </c>
      <c r="D542" s="3" t="s">
        <v>292</v>
      </c>
      <c r="E542" s="3" t="s">
        <v>317</v>
      </c>
      <c r="F542" s="3" t="s">
        <v>1773</v>
      </c>
      <c r="G542" s="3" t="s">
        <v>3690</v>
      </c>
      <c r="H542" s="7">
        <v>44851</v>
      </c>
      <c r="I542" s="6">
        <v>160500</v>
      </c>
      <c r="J542" s="6">
        <v>28890</v>
      </c>
      <c r="K542" s="4">
        <v>29252990</v>
      </c>
      <c r="L542" s="3"/>
      <c r="M542" s="3" t="s">
        <v>36</v>
      </c>
      <c r="N542" s="5">
        <f t="shared" si="8"/>
        <v>18</v>
      </c>
    </row>
    <row r="543" spans="1:14" ht="14.4" x14ac:dyDescent="0.3">
      <c r="A543" s="3" t="s">
        <v>1774</v>
      </c>
      <c r="B543" s="3" t="s">
        <v>325</v>
      </c>
      <c r="C543" s="3" t="s">
        <v>134</v>
      </c>
      <c r="D543" s="3" t="s">
        <v>326</v>
      </c>
      <c r="E543" s="3" t="s">
        <v>80</v>
      </c>
      <c r="F543" s="3" t="s">
        <v>1775</v>
      </c>
      <c r="G543" s="3">
        <v>1851</v>
      </c>
      <c r="H543" s="7">
        <v>44848</v>
      </c>
      <c r="I543" s="6">
        <v>76288</v>
      </c>
      <c r="J543" s="6">
        <v>13732</v>
      </c>
      <c r="K543" s="4">
        <v>29419090</v>
      </c>
      <c r="L543" s="3" t="s">
        <v>1190</v>
      </c>
      <c r="M543" s="3" t="s">
        <v>1776</v>
      </c>
      <c r="N543" s="5">
        <f t="shared" si="8"/>
        <v>18.000209731543624</v>
      </c>
    </row>
    <row r="544" spans="1:14" ht="14.4" x14ac:dyDescent="0.3">
      <c r="A544" s="3" t="s">
        <v>1777</v>
      </c>
      <c r="B544" s="3" t="s">
        <v>1778</v>
      </c>
      <c r="C544" s="3" t="s">
        <v>310</v>
      </c>
      <c r="D544" s="3" t="s">
        <v>372</v>
      </c>
      <c r="E544" s="3" t="s">
        <v>188</v>
      </c>
      <c r="F544" s="3" t="s">
        <v>1779</v>
      </c>
      <c r="G544" s="3" t="s">
        <v>3691</v>
      </c>
      <c r="H544" s="7">
        <v>44844</v>
      </c>
      <c r="I544" s="6">
        <v>483638</v>
      </c>
      <c r="J544" s="6">
        <v>87054.84</v>
      </c>
      <c r="K544" s="4">
        <v>29413010</v>
      </c>
      <c r="L544" s="3" t="s">
        <v>1780</v>
      </c>
      <c r="M544" s="3" t="s">
        <v>32</v>
      </c>
      <c r="N544" s="5">
        <f t="shared" si="8"/>
        <v>18</v>
      </c>
    </row>
    <row r="545" spans="1:14" ht="14.4" x14ac:dyDescent="0.3">
      <c r="A545" s="3" t="s">
        <v>1781</v>
      </c>
      <c r="B545" s="3" t="s">
        <v>290</v>
      </c>
      <c r="C545" s="3" t="s">
        <v>291</v>
      </c>
      <c r="D545" s="3" t="s">
        <v>292</v>
      </c>
      <c r="E545" s="3" t="s">
        <v>22</v>
      </c>
      <c r="F545" s="3" t="s">
        <v>1782</v>
      </c>
      <c r="G545" s="3">
        <v>223029</v>
      </c>
      <c r="H545" s="7">
        <v>44833</v>
      </c>
      <c r="I545" s="6">
        <v>48774.25</v>
      </c>
      <c r="J545" s="6">
        <v>8779.36</v>
      </c>
      <c r="K545" s="4">
        <v>29333990</v>
      </c>
      <c r="L545" s="3"/>
      <c r="M545" s="3" t="s">
        <v>597</v>
      </c>
      <c r="N545" s="5">
        <f t="shared" si="8"/>
        <v>17.999989748689114</v>
      </c>
    </row>
    <row r="546" spans="1:14" ht="14.4" x14ac:dyDescent="0.3">
      <c r="A546" s="3" t="s">
        <v>1783</v>
      </c>
      <c r="B546" s="3" t="s">
        <v>671</v>
      </c>
      <c r="C546" s="3" t="s">
        <v>672</v>
      </c>
      <c r="D546" s="3" t="s">
        <v>347</v>
      </c>
      <c r="E546" s="3" t="s">
        <v>80</v>
      </c>
      <c r="F546" s="3" t="s">
        <v>1784</v>
      </c>
      <c r="G546" s="3" t="s">
        <v>3692</v>
      </c>
      <c r="H546" s="7">
        <v>44862</v>
      </c>
      <c r="I546" s="6">
        <v>63052</v>
      </c>
      <c r="J546" s="6">
        <v>11349.36</v>
      </c>
      <c r="K546" s="4">
        <v>29393000</v>
      </c>
      <c r="L546" s="3" t="s">
        <v>1785</v>
      </c>
      <c r="M546" s="3" t="s">
        <v>32</v>
      </c>
      <c r="N546" s="5">
        <f t="shared" si="8"/>
        <v>18</v>
      </c>
    </row>
    <row r="547" spans="1:14" ht="14.4" x14ac:dyDescent="0.3">
      <c r="A547" s="3" t="s">
        <v>1786</v>
      </c>
      <c r="B547" s="3" t="s">
        <v>371</v>
      </c>
      <c r="C547" s="3" t="s">
        <v>134</v>
      </c>
      <c r="D547" s="3" t="s">
        <v>372</v>
      </c>
      <c r="E547" s="3" t="s">
        <v>80</v>
      </c>
      <c r="F547" s="3" t="s">
        <v>1787</v>
      </c>
      <c r="G547" s="3">
        <v>107438</v>
      </c>
      <c r="H547" s="7">
        <v>44851</v>
      </c>
      <c r="I547" s="6">
        <v>167500</v>
      </c>
      <c r="J547" s="6">
        <v>30150</v>
      </c>
      <c r="K547" s="4">
        <v>39123922</v>
      </c>
      <c r="L547" s="3"/>
      <c r="M547" s="3" t="s">
        <v>98</v>
      </c>
      <c r="N547" s="5">
        <f t="shared" si="8"/>
        <v>18</v>
      </c>
    </row>
    <row r="548" spans="1:14" ht="14.4" x14ac:dyDescent="0.3">
      <c r="A548" s="3" t="s">
        <v>1788</v>
      </c>
      <c r="B548" s="3" t="s">
        <v>309</v>
      </c>
      <c r="C548" s="3" t="s">
        <v>310</v>
      </c>
      <c r="D548" s="3" t="s">
        <v>311</v>
      </c>
      <c r="E548" s="3" t="s">
        <v>80</v>
      </c>
      <c r="F548" s="3" t="s">
        <v>1789</v>
      </c>
      <c r="G548" s="3" t="s">
        <v>3693</v>
      </c>
      <c r="H548" s="7">
        <v>44855</v>
      </c>
      <c r="I548" s="6">
        <v>262500</v>
      </c>
      <c r="J548" s="6">
        <v>47250</v>
      </c>
      <c r="K548" s="4">
        <v>29335990</v>
      </c>
      <c r="L548" s="3" t="s">
        <v>313</v>
      </c>
      <c r="M548" s="3"/>
      <c r="N548" s="5">
        <f t="shared" si="8"/>
        <v>18</v>
      </c>
    </row>
    <row r="549" spans="1:14" ht="14.4" x14ac:dyDescent="0.3">
      <c r="A549" s="3" t="s">
        <v>1790</v>
      </c>
      <c r="B549" s="3" t="s">
        <v>295</v>
      </c>
      <c r="C549" s="3" t="s">
        <v>296</v>
      </c>
      <c r="D549" s="3" t="s">
        <v>1688</v>
      </c>
      <c r="E549" s="3" t="s">
        <v>298</v>
      </c>
      <c r="F549" s="3" t="s">
        <v>1791</v>
      </c>
      <c r="G549" s="3" t="s">
        <v>3694</v>
      </c>
      <c r="H549" s="7">
        <v>44845</v>
      </c>
      <c r="I549" s="6">
        <v>900000</v>
      </c>
      <c r="J549" s="6">
        <v>162000</v>
      </c>
      <c r="K549" s="4">
        <v>29411030</v>
      </c>
      <c r="L549" s="3" t="s">
        <v>300</v>
      </c>
      <c r="M549" s="3" t="s">
        <v>516</v>
      </c>
      <c r="N549" s="5">
        <f t="shared" si="8"/>
        <v>18</v>
      </c>
    </row>
    <row r="550" spans="1:14" ht="14.4" x14ac:dyDescent="0.3">
      <c r="A550" s="3" t="s">
        <v>1792</v>
      </c>
      <c r="B550" s="3" t="s">
        <v>1325</v>
      </c>
      <c r="C550" s="3" t="s">
        <v>20</v>
      </c>
      <c r="D550" s="3" t="s">
        <v>1132</v>
      </c>
      <c r="E550" s="3" t="s">
        <v>22</v>
      </c>
      <c r="F550" s="3" t="s">
        <v>1793</v>
      </c>
      <c r="G550" s="3" t="s">
        <v>3695</v>
      </c>
      <c r="H550" s="7">
        <v>44840</v>
      </c>
      <c r="I550" s="6">
        <v>660660</v>
      </c>
      <c r="J550" s="6">
        <v>118918.8</v>
      </c>
      <c r="K550" s="4">
        <v>29333990</v>
      </c>
      <c r="L550" s="3" t="s">
        <v>1134</v>
      </c>
      <c r="M550" s="3" t="s">
        <v>675</v>
      </c>
      <c r="N550" s="5">
        <f t="shared" si="8"/>
        <v>18</v>
      </c>
    </row>
    <row r="551" spans="1:14" ht="14.4" x14ac:dyDescent="0.3">
      <c r="A551" s="3" t="s">
        <v>1794</v>
      </c>
      <c r="B551" s="3" t="s">
        <v>182</v>
      </c>
      <c r="C551" s="3" t="s">
        <v>20</v>
      </c>
      <c r="D551" s="3" t="s">
        <v>167</v>
      </c>
      <c r="E551" s="3" t="s">
        <v>22</v>
      </c>
      <c r="F551" s="3" t="s">
        <v>1795</v>
      </c>
      <c r="G551" s="3" t="s">
        <v>3696</v>
      </c>
      <c r="H551" s="7">
        <v>44865</v>
      </c>
      <c r="I551" s="6">
        <v>82000</v>
      </c>
      <c r="J551" s="6">
        <v>14760</v>
      </c>
      <c r="K551" s="4">
        <v>39129090</v>
      </c>
      <c r="L551" s="3" t="s">
        <v>1796</v>
      </c>
      <c r="M551" s="3" t="s">
        <v>36</v>
      </c>
      <c r="N551" s="5">
        <f t="shared" si="8"/>
        <v>18</v>
      </c>
    </row>
    <row r="552" spans="1:14" ht="14.4" x14ac:dyDescent="0.3">
      <c r="A552" s="3" t="s">
        <v>1797</v>
      </c>
      <c r="B552" s="3" t="s">
        <v>145</v>
      </c>
      <c r="C552" s="3" t="s">
        <v>20</v>
      </c>
      <c r="D552" s="3" t="s">
        <v>489</v>
      </c>
      <c r="E552" s="3" t="s">
        <v>22</v>
      </c>
      <c r="F552" s="3" t="s">
        <v>1798</v>
      </c>
      <c r="G552" s="3" t="s">
        <v>3697</v>
      </c>
      <c r="H552" s="7">
        <v>44862</v>
      </c>
      <c r="I552" s="6">
        <v>192375</v>
      </c>
      <c r="J552" s="6">
        <v>23085</v>
      </c>
      <c r="K552" s="4">
        <v>11081200</v>
      </c>
      <c r="L552" s="3"/>
      <c r="M552" s="3" t="s">
        <v>1799</v>
      </c>
      <c r="N552" s="5">
        <f t="shared" si="8"/>
        <v>12</v>
      </c>
    </row>
    <row r="553" spans="1:14" ht="14.4" x14ac:dyDescent="0.3">
      <c r="A553" s="3" t="s">
        <v>1800</v>
      </c>
      <c r="B553" s="3" t="s">
        <v>145</v>
      </c>
      <c r="C553" s="3" t="s">
        <v>20</v>
      </c>
      <c r="D553" s="3" t="s">
        <v>489</v>
      </c>
      <c r="E553" s="3" t="s">
        <v>22</v>
      </c>
      <c r="F553" s="3" t="s">
        <v>1801</v>
      </c>
      <c r="G553" s="3" t="s">
        <v>3698</v>
      </c>
      <c r="H553" s="7">
        <v>44856</v>
      </c>
      <c r="I553" s="6">
        <v>42750</v>
      </c>
      <c r="J553" s="6">
        <v>5130</v>
      </c>
      <c r="K553" s="4">
        <v>11081200</v>
      </c>
      <c r="L553" s="3"/>
      <c r="M553" s="3" t="s">
        <v>1802</v>
      </c>
      <c r="N553" s="5">
        <f t="shared" si="8"/>
        <v>12</v>
      </c>
    </row>
    <row r="554" spans="1:14" ht="14.4" x14ac:dyDescent="0.3">
      <c r="A554" s="3" t="s">
        <v>1803</v>
      </c>
      <c r="B554" s="3" t="s">
        <v>94</v>
      </c>
      <c r="C554" s="3" t="s">
        <v>26</v>
      </c>
      <c r="D554" s="3" t="s">
        <v>95</v>
      </c>
      <c r="E554" s="3" t="s">
        <v>22</v>
      </c>
      <c r="F554" s="3" t="s">
        <v>1804</v>
      </c>
      <c r="G554" s="3" t="s">
        <v>3699</v>
      </c>
      <c r="H554" s="7">
        <v>44855</v>
      </c>
      <c r="I554" s="6">
        <v>48308.9</v>
      </c>
      <c r="J554" s="6">
        <v>8695.6</v>
      </c>
      <c r="K554" s="4">
        <v>48192090</v>
      </c>
      <c r="L554" s="3" t="s">
        <v>97</v>
      </c>
      <c r="M554" s="3" t="s">
        <v>98</v>
      </c>
      <c r="N554" s="5">
        <f t="shared" si="8"/>
        <v>17.99999585997611</v>
      </c>
    </row>
    <row r="555" spans="1:14" ht="14.4" x14ac:dyDescent="0.3">
      <c r="A555" s="3" t="s">
        <v>1805</v>
      </c>
      <c r="B555" s="3" t="s">
        <v>409</v>
      </c>
      <c r="C555" s="3" t="s">
        <v>20</v>
      </c>
      <c r="D555" s="3" t="s">
        <v>410</v>
      </c>
      <c r="E555" s="3" t="s">
        <v>22</v>
      </c>
      <c r="F555" s="3" t="s">
        <v>1806</v>
      </c>
      <c r="G555" s="3">
        <v>1000</v>
      </c>
      <c r="H555" s="7">
        <v>44853</v>
      </c>
      <c r="I555" s="6">
        <v>42500</v>
      </c>
      <c r="J555" s="6">
        <v>7650</v>
      </c>
      <c r="K555" s="4">
        <v>32050000</v>
      </c>
      <c r="L555" s="3" t="s">
        <v>412</v>
      </c>
      <c r="M555" s="3" t="s">
        <v>549</v>
      </c>
      <c r="N555" s="5">
        <f t="shared" si="8"/>
        <v>18</v>
      </c>
    </row>
    <row r="556" spans="1:14" ht="14.4" x14ac:dyDescent="0.3">
      <c r="A556" s="3" t="s">
        <v>1807</v>
      </c>
      <c r="B556" s="3" t="s">
        <v>161</v>
      </c>
      <c r="C556" s="3" t="s">
        <v>56</v>
      </c>
      <c r="D556" s="3" t="s">
        <v>57</v>
      </c>
      <c r="E556" s="3" t="s">
        <v>162</v>
      </c>
      <c r="F556" s="3" t="s">
        <v>1808</v>
      </c>
      <c r="G556" s="3" t="s">
        <v>3700</v>
      </c>
      <c r="H556" s="7">
        <v>44851</v>
      </c>
      <c r="I556" s="6">
        <v>571285.5</v>
      </c>
      <c r="J556" s="6">
        <v>102831.4</v>
      </c>
      <c r="K556" s="4">
        <v>29411030</v>
      </c>
      <c r="L556" s="3" t="s">
        <v>1809</v>
      </c>
      <c r="M556" s="3" t="s">
        <v>516</v>
      </c>
      <c r="N556" s="5">
        <f t="shared" si="8"/>
        <v>18.000001750438265</v>
      </c>
    </row>
    <row r="557" spans="1:14" ht="14.4" x14ac:dyDescent="0.3">
      <c r="A557" s="3" t="s">
        <v>1810</v>
      </c>
      <c r="B557" s="3" t="s">
        <v>55</v>
      </c>
      <c r="C557" s="3" t="s">
        <v>56</v>
      </c>
      <c r="D557" s="3" t="s">
        <v>57</v>
      </c>
      <c r="E557" s="3" t="s">
        <v>22</v>
      </c>
      <c r="F557" s="3" t="s">
        <v>1811</v>
      </c>
      <c r="G557" s="3" t="s">
        <v>3701</v>
      </c>
      <c r="H557" s="7">
        <v>44842</v>
      </c>
      <c r="I557" s="6">
        <v>219100</v>
      </c>
      <c r="J557" s="6">
        <v>39438</v>
      </c>
      <c r="K557" s="4">
        <v>29333990</v>
      </c>
      <c r="L557" s="3"/>
      <c r="M557" s="3" t="s">
        <v>92</v>
      </c>
      <c r="N557" s="5">
        <f t="shared" si="8"/>
        <v>18</v>
      </c>
    </row>
    <row r="558" spans="1:14" ht="14.4" x14ac:dyDescent="0.3">
      <c r="A558" s="3" t="s">
        <v>1812</v>
      </c>
      <c r="B558" s="3" t="s">
        <v>84</v>
      </c>
      <c r="C558" s="3" t="s">
        <v>20</v>
      </c>
      <c r="D558" s="3" t="s">
        <v>239</v>
      </c>
      <c r="E558" s="3" t="s">
        <v>22</v>
      </c>
      <c r="F558" s="3" t="s">
        <v>1813</v>
      </c>
      <c r="G558" s="3" t="s">
        <v>3702</v>
      </c>
      <c r="H558" s="7">
        <v>44838</v>
      </c>
      <c r="I558" s="6">
        <v>39073.4</v>
      </c>
      <c r="J558" s="6">
        <v>7033.21</v>
      </c>
      <c r="K558" s="4">
        <v>3921</v>
      </c>
      <c r="L558" s="3" t="s">
        <v>118</v>
      </c>
      <c r="M558" s="3" t="s">
        <v>1814</v>
      </c>
      <c r="N558" s="5">
        <f t="shared" si="8"/>
        <v>17.999994881428286</v>
      </c>
    </row>
    <row r="559" spans="1:14" ht="14.4" x14ac:dyDescent="0.3">
      <c r="A559" s="3" t="s">
        <v>1815</v>
      </c>
      <c r="B559" s="3" t="s">
        <v>94</v>
      </c>
      <c r="C559" s="3" t="s">
        <v>26</v>
      </c>
      <c r="D559" s="3" t="s">
        <v>95</v>
      </c>
      <c r="E559" s="3" t="s">
        <v>22</v>
      </c>
      <c r="F559" s="3" t="s">
        <v>1816</v>
      </c>
      <c r="G559" s="3" t="s">
        <v>3703</v>
      </c>
      <c r="H559" s="7">
        <v>44840</v>
      </c>
      <c r="I559" s="6">
        <v>56994.9</v>
      </c>
      <c r="J559" s="6">
        <v>10259.1</v>
      </c>
      <c r="K559" s="4">
        <v>48192090</v>
      </c>
      <c r="L559" s="3" t="s">
        <v>97</v>
      </c>
      <c r="M559" s="3" t="s">
        <v>467</v>
      </c>
      <c r="N559" s="5">
        <f t="shared" si="8"/>
        <v>18.000031581773104</v>
      </c>
    </row>
    <row r="560" spans="1:14" ht="14.4" x14ac:dyDescent="0.3">
      <c r="A560" s="3" t="s">
        <v>1817</v>
      </c>
      <c r="B560" s="3" t="s">
        <v>124</v>
      </c>
      <c r="C560" s="3" t="s">
        <v>20</v>
      </c>
      <c r="D560" s="3" t="s">
        <v>125</v>
      </c>
      <c r="E560" s="3" t="s">
        <v>22</v>
      </c>
      <c r="F560" s="3" t="s">
        <v>1818</v>
      </c>
      <c r="G560" s="3" t="s">
        <v>3704</v>
      </c>
      <c r="H560" s="7">
        <v>44840</v>
      </c>
      <c r="I560" s="6">
        <v>125978</v>
      </c>
      <c r="J560" s="6">
        <v>22676.04</v>
      </c>
      <c r="K560" s="4">
        <v>48192020</v>
      </c>
      <c r="L560" s="3"/>
      <c r="M560" s="3" t="s">
        <v>467</v>
      </c>
      <c r="N560" s="5">
        <f t="shared" si="8"/>
        <v>18</v>
      </c>
    </row>
    <row r="561" spans="1:14" ht="14.4" x14ac:dyDescent="0.3">
      <c r="A561" s="3" t="s">
        <v>1819</v>
      </c>
      <c r="B561" s="3" t="s">
        <v>55</v>
      </c>
      <c r="C561" s="3" t="s">
        <v>56</v>
      </c>
      <c r="D561" s="3" t="s">
        <v>57</v>
      </c>
      <c r="E561" s="3" t="s">
        <v>22</v>
      </c>
      <c r="F561" s="3" t="s">
        <v>1820</v>
      </c>
      <c r="G561" s="3" t="s">
        <v>3705</v>
      </c>
      <c r="H561" s="7">
        <v>44837</v>
      </c>
      <c r="I561" s="6">
        <v>310600</v>
      </c>
      <c r="J561" s="6">
        <v>55908</v>
      </c>
      <c r="K561" s="4">
        <v>29420090</v>
      </c>
      <c r="L561" s="3"/>
      <c r="M561" s="3" t="s">
        <v>32</v>
      </c>
      <c r="N561" s="5">
        <f t="shared" si="8"/>
        <v>18</v>
      </c>
    </row>
    <row r="562" spans="1:14" ht="14.4" x14ac:dyDescent="0.3">
      <c r="A562" s="3" t="s">
        <v>1821</v>
      </c>
      <c r="B562" s="3" t="s">
        <v>1822</v>
      </c>
      <c r="C562" s="3" t="s">
        <v>20</v>
      </c>
      <c r="D562" s="3" t="s">
        <v>1011</v>
      </c>
      <c r="E562" s="3" t="s">
        <v>22</v>
      </c>
      <c r="F562" s="3" t="s">
        <v>1823</v>
      </c>
      <c r="G562" s="3" t="s">
        <v>3706</v>
      </c>
      <c r="H562" s="7">
        <v>44835</v>
      </c>
      <c r="I562" s="6">
        <v>68412.2</v>
      </c>
      <c r="J562" s="6">
        <v>12314.2</v>
      </c>
      <c r="K562" s="4">
        <v>7607</v>
      </c>
      <c r="L562" s="3" t="s">
        <v>1824</v>
      </c>
      <c r="M562" s="3" t="s">
        <v>280</v>
      </c>
      <c r="N562" s="5">
        <f t="shared" si="8"/>
        <v>18.000005846910348</v>
      </c>
    </row>
    <row r="563" spans="1:14" ht="14.4" x14ac:dyDescent="0.3">
      <c r="A563" s="3" t="s">
        <v>1825</v>
      </c>
      <c r="B563" s="3" t="s">
        <v>61</v>
      </c>
      <c r="C563" s="3" t="s">
        <v>62</v>
      </c>
      <c r="D563" s="3" t="s">
        <v>57</v>
      </c>
      <c r="E563" s="3" t="s">
        <v>1826</v>
      </c>
      <c r="F563" s="3" t="s">
        <v>1827</v>
      </c>
      <c r="G563" s="3">
        <v>802</v>
      </c>
      <c r="H563" s="7">
        <v>44835</v>
      </c>
      <c r="I563" s="6">
        <v>80117.95</v>
      </c>
      <c r="J563" s="6">
        <v>14421.24</v>
      </c>
      <c r="K563" s="4">
        <v>39219023</v>
      </c>
      <c r="L563" s="3" t="s">
        <v>1828</v>
      </c>
      <c r="M563" s="3" t="s">
        <v>961</v>
      </c>
      <c r="N563" s="5">
        <f t="shared" si="8"/>
        <v>18.0000112334377</v>
      </c>
    </row>
    <row r="564" spans="1:14" ht="14.4" x14ac:dyDescent="0.3">
      <c r="A564" s="3" t="s">
        <v>1829</v>
      </c>
      <c r="B564" s="3" t="s">
        <v>1273</v>
      </c>
      <c r="C564" s="3" t="s">
        <v>20</v>
      </c>
      <c r="D564" s="3" t="s">
        <v>156</v>
      </c>
      <c r="E564" s="3" t="s">
        <v>22</v>
      </c>
      <c r="F564" s="3" t="s">
        <v>1830</v>
      </c>
      <c r="G564" s="3" t="s">
        <v>3707</v>
      </c>
      <c r="H564" s="7">
        <v>44835</v>
      </c>
      <c r="I564" s="6">
        <v>52857.05</v>
      </c>
      <c r="J564" s="6">
        <v>9514.26</v>
      </c>
      <c r="K564" s="4">
        <v>4819</v>
      </c>
      <c r="L564" s="3"/>
      <c r="M564" s="3" t="s">
        <v>1576</v>
      </c>
      <c r="N564" s="5">
        <f t="shared" si="8"/>
        <v>17.999982972943059</v>
      </c>
    </row>
    <row r="565" spans="1:14" ht="14.4" x14ac:dyDescent="0.3">
      <c r="A565" s="3" t="s">
        <v>1831</v>
      </c>
      <c r="B565" s="3" t="s">
        <v>394</v>
      </c>
      <c r="C565" s="3" t="s">
        <v>26</v>
      </c>
      <c r="D565" s="3" t="s">
        <v>95</v>
      </c>
      <c r="E565" s="3" t="s">
        <v>22</v>
      </c>
      <c r="F565" s="3" t="s">
        <v>1832</v>
      </c>
      <c r="G565" s="3" t="s">
        <v>3708</v>
      </c>
      <c r="H565" s="7">
        <v>44833</v>
      </c>
      <c r="I565" s="6">
        <v>69308.600000000006</v>
      </c>
      <c r="J565" s="6">
        <v>12475.56</v>
      </c>
      <c r="K565" s="4">
        <v>48192090</v>
      </c>
      <c r="L565" s="3" t="s">
        <v>97</v>
      </c>
      <c r="M565" s="3" t="s">
        <v>98</v>
      </c>
      <c r="N565" s="5">
        <f t="shared" si="8"/>
        <v>18.000017313868696</v>
      </c>
    </row>
    <row r="566" spans="1:14" ht="14.4" x14ac:dyDescent="0.3">
      <c r="A566" s="3" t="s">
        <v>1833</v>
      </c>
      <c r="B566" s="3" t="s">
        <v>49</v>
      </c>
      <c r="C566" s="3" t="s">
        <v>20</v>
      </c>
      <c r="D566" s="3" t="s">
        <v>50</v>
      </c>
      <c r="E566" s="3" t="s">
        <v>22</v>
      </c>
      <c r="F566" s="3" t="s">
        <v>1834</v>
      </c>
      <c r="G566" s="3" t="s">
        <v>3709</v>
      </c>
      <c r="H566" s="7">
        <v>44840</v>
      </c>
      <c r="I566" s="6">
        <v>141872.75</v>
      </c>
      <c r="J566" s="6">
        <v>25537.1</v>
      </c>
      <c r="K566" s="4">
        <v>48192020</v>
      </c>
      <c r="L566" s="3" t="s">
        <v>52</v>
      </c>
      <c r="M566" s="3" t="s">
        <v>467</v>
      </c>
      <c r="N566" s="5">
        <f t="shared" si="8"/>
        <v>18.000003524284967</v>
      </c>
    </row>
    <row r="567" spans="1:14" ht="14.4" x14ac:dyDescent="0.3">
      <c r="A567" s="3" t="s">
        <v>1835</v>
      </c>
      <c r="B567" s="3" t="s">
        <v>222</v>
      </c>
      <c r="C567" s="3" t="s">
        <v>223</v>
      </c>
      <c r="D567" s="3" t="s">
        <v>395</v>
      </c>
      <c r="E567" s="3" t="s">
        <v>1836</v>
      </c>
      <c r="F567" s="3" t="s">
        <v>1837</v>
      </c>
      <c r="G567" s="3" t="s">
        <v>3710</v>
      </c>
      <c r="H567" s="7">
        <v>44840</v>
      </c>
      <c r="I567" s="6">
        <v>110589</v>
      </c>
      <c r="J567" s="6">
        <v>19906.02</v>
      </c>
      <c r="K567" s="4">
        <v>76071994</v>
      </c>
      <c r="L567" s="3" t="s">
        <v>778</v>
      </c>
      <c r="M567" s="3" t="s">
        <v>467</v>
      </c>
      <c r="N567" s="5">
        <f t="shared" si="8"/>
        <v>18</v>
      </c>
    </row>
    <row r="568" spans="1:14" ht="14.4" x14ac:dyDescent="0.3">
      <c r="A568" s="3" t="s">
        <v>1838</v>
      </c>
      <c r="B568" s="3" t="s">
        <v>1157</v>
      </c>
      <c r="C568" s="3" t="s">
        <v>20</v>
      </c>
      <c r="D568" s="3" t="s">
        <v>755</v>
      </c>
      <c r="E568" s="3" t="s">
        <v>22</v>
      </c>
      <c r="F568" s="3" t="s">
        <v>1839</v>
      </c>
      <c r="G568" s="3">
        <v>161</v>
      </c>
      <c r="H568" s="7">
        <v>44840</v>
      </c>
      <c r="I568" s="6">
        <v>45898</v>
      </c>
      <c r="J568" s="6">
        <v>8261.64</v>
      </c>
      <c r="K568" s="4">
        <v>4819</v>
      </c>
      <c r="L568" s="3"/>
      <c r="M568" s="3" t="s">
        <v>1840</v>
      </c>
      <c r="N568" s="5">
        <f t="shared" si="8"/>
        <v>18</v>
      </c>
    </row>
    <row r="569" spans="1:14" ht="14.4" x14ac:dyDescent="0.3">
      <c r="A569" s="3" t="s">
        <v>1841</v>
      </c>
      <c r="B569" s="3" t="s">
        <v>25</v>
      </c>
      <c r="C569" s="3" t="s">
        <v>26</v>
      </c>
      <c r="D569" s="3" t="s">
        <v>27</v>
      </c>
      <c r="E569" s="3" t="s">
        <v>28</v>
      </c>
      <c r="F569" s="3" t="s">
        <v>1842</v>
      </c>
      <c r="G569" s="3" t="s">
        <v>3711</v>
      </c>
      <c r="H569" s="7">
        <v>44838</v>
      </c>
      <c r="I569" s="6">
        <v>232500</v>
      </c>
      <c r="J569" s="6">
        <v>41850</v>
      </c>
      <c r="K569" s="4">
        <v>29420090</v>
      </c>
      <c r="L569" s="3" t="s">
        <v>552</v>
      </c>
      <c r="M569" s="3" t="s">
        <v>92</v>
      </c>
      <c r="N569" s="5">
        <f t="shared" si="8"/>
        <v>18</v>
      </c>
    </row>
    <row r="570" spans="1:14" ht="14.4" x14ac:dyDescent="0.3">
      <c r="A570" s="3" t="s">
        <v>1843</v>
      </c>
      <c r="B570" s="3" t="s">
        <v>25</v>
      </c>
      <c r="C570" s="3" t="s">
        <v>26</v>
      </c>
      <c r="D570" s="3" t="s">
        <v>27</v>
      </c>
      <c r="E570" s="3" t="s">
        <v>28</v>
      </c>
      <c r="F570" s="3" t="s">
        <v>1844</v>
      </c>
      <c r="G570" s="3" t="s">
        <v>3712</v>
      </c>
      <c r="H570" s="7">
        <v>44838</v>
      </c>
      <c r="I570" s="6">
        <v>690000</v>
      </c>
      <c r="J570" s="6">
        <v>124200</v>
      </c>
      <c r="K570" s="4">
        <v>29420090</v>
      </c>
      <c r="L570" s="3" t="s">
        <v>552</v>
      </c>
      <c r="M570" s="3" t="s">
        <v>516</v>
      </c>
      <c r="N570" s="5">
        <f t="shared" si="8"/>
        <v>18</v>
      </c>
    </row>
    <row r="571" spans="1:14" ht="14.4" x14ac:dyDescent="0.3">
      <c r="A571" s="3" t="s">
        <v>1845</v>
      </c>
      <c r="B571" s="3" t="s">
        <v>94</v>
      </c>
      <c r="C571" s="3" t="s">
        <v>26</v>
      </c>
      <c r="D571" s="3" t="s">
        <v>95</v>
      </c>
      <c r="E571" s="3" t="s">
        <v>22</v>
      </c>
      <c r="F571" s="3" t="s">
        <v>1846</v>
      </c>
      <c r="G571" s="3" t="s">
        <v>3713</v>
      </c>
      <c r="H571" s="7">
        <v>44835</v>
      </c>
      <c r="I571" s="6">
        <v>185645</v>
      </c>
      <c r="J571" s="6">
        <v>31680.6</v>
      </c>
      <c r="K571" s="4">
        <v>48192090</v>
      </c>
      <c r="L571" s="3" t="s">
        <v>97</v>
      </c>
      <c r="M571" s="3" t="s">
        <v>961</v>
      </c>
      <c r="N571" s="5">
        <f t="shared" si="8"/>
        <v>17.065151229497157</v>
      </c>
    </row>
    <row r="572" spans="1:14" ht="14.4" x14ac:dyDescent="0.3">
      <c r="A572" s="3" t="s">
        <v>1847</v>
      </c>
      <c r="B572" s="3" t="s">
        <v>182</v>
      </c>
      <c r="C572" s="3" t="s">
        <v>20</v>
      </c>
      <c r="D572" s="3" t="s">
        <v>167</v>
      </c>
      <c r="E572" s="3" t="s">
        <v>22</v>
      </c>
      <c r="F572" s="3" t="s">
        <v>1848</v>
      </c>
      <c r="G572" s="3" t="s">
        <v>3714</v>
      </c>
      <c r="H572" s="7">
        <v>44835</v>
      </c>
      <c r="I572" s="6">
        <v>70000</v>
      </c>
      <c r="J572" s="6">
        <v>12600</v>
      </c>
      <c r="K572" s="4">
        <v>39123919</v>
      </c>
      <c r="L572" s="3" t="s">
        <v>474</v>
      </c>
      <c r="M572" s="3" t="s">
        <v>961</v>
      </c>
      <c r="N572" s="5">
        <f t="shared" si="8"/>
        <v>18</v>
      </c>
    </row>
    <row r="573" spans="1:14" ht="14.4" x14ac:dyDescent="0.3">
      <c r="A573" s="3" t="s">
        <v>1849</v>
      </c>
      <c r="B573" s="3" t="s">
        <v>178</v>
      </c>
      <c r="C573" s="3" t="s">
        <v>20</v>
      </c>
      <c r="D573" s="3" t="s">
        <v>50</v>
      </c>
      <c r="E573" s="3" t="s">
        <v>22</v>
      </c>
      <c r="F573" s="3" t="s">
        <v>1850</v>
      </c>
      <c r="G573" s="3" t="s">
        <v>3715</v>
      </c>
      <c r="H573" s="7">
        <v>44863</v>
      </c>
      <c r="I573" s="6">
        <v>49827.35</v>
      </c>
      <c r="J573" s="6">
        <v>8968.92</v>
      </c>
      <c r="K573" s="4">
        <v>76071995</v>
      </c>
      <c r="L573" s="3" t="s">
        <v>180</v>
      </c>
      <c r="M573" s="3" t="s">
        <v>32</v>
      </c>
      <c r="N573" s="5">
        <f t="shared" si="8"/>
        <v>17.999993979210213</v>
      </c>
    </row>
    <row r="574" spans="1:14" ht="14.4" x14ac:dyDescent="0.3">
      <c r="A574" s="3" t="s">
        <v>1851</v>
      </c>
      <c r="B574" s="3" t="s">
        <v>182</v>
      </c>
      <c r="C574" s="3" t="s">
        <v>20</v>
      </c>
      <c r="D574" s="3" t="s">
        <v>167</v>
      </c>
      <c r="E574" s="3" t="s">
        <v>22</v>
      </c>
      <c r="F574" s="3" t="s">
        <v>1852</v>
      </c>
      <c r="G574" s="3" t="s">
        <v>3716</v>
      </c>
      <c r="H574" s="7">
        <v>44861</v>
      </c>
      <c r="I574" s="6">
        <v>56250</v>
      </c>
      <c r="J574" s="6">
        <v>10125</v>
      </c>
      <c r="K574" s="4">
        <v>29031200</v>
      </c>
      <c r="L574" s="3" t="s">
        <v>1853</v>
      </c>
      <c r="M574" s="3" t="s">
        <v>104</v>
      </c>
      <c r="N574" s="5">
        <f t="shared" si="8"/>
        <v>18</v>
      </c>
    </row>
    <row r="575" spans="1:14" ht="14.4" x14ac:dyDescent="0.3">
      <c r="A575" s="3" t="s">
        <v>1854</v>
      </c>
      <c r="B575" s="3" t="s">
        <v>1855</v>
      </c>
      <c r="C575" s="3" t="s">
        <v>1856</v>
      </c>
      <c r="D575" s="3" t="s">
        <v>15</v>
      </c>
      <c r="E575" s="3" t="s">
        <v>15</v>
      </c>
      <c r="F575" s="3" t="s">
        <v>1857</v>
      </c>
      <c r="G575" s="3">
        <v>7362</v>
      </c>
      <c r="H575" s="7">
        <v>44858</v>
      </c>
      <c r="I575" s="6">
        <v>442968.62</v>
      </c>
      <c r="J575" s="6">
        <v>79734.34</v>
      </c>
      <c r="K575" s="4">
        <v>72107000</v>
      </c>
      <c r="L575" s="3" t="s">
        <v>1858</v>
      </c>
      <c r="M575" s="3" t="s">
        <v>1859</v>
      </c>
      <c r="N575" s="5">
        <f t="shared" si="8"/>
        <v>17.999997381304347</v>
      </c>
    </row>
    <row r="576" spans="1:14" ht="14.4" x14ac:dyDescent="0.3">
      <c r="A576" s="3" t="s">
        <v>1860</v>
      </c>
      <c r="B576" s="3" t="s">
        <v>25</v>
      </c>
      <c r="C576" s="3" t="s">
        <v>26</v>
      </c>
      <c r="D576" s="3" t="s">
        <v>27</v>
      </c>
      <c r="E576" s="3" t="s">
        <v>28</v>
      </c>
      <c r="F576" s="3" t="s">
        <v>1861</v>
      </c>
      <c r="G576" s="3" t="s">
        <v>3717</v>
      </c>
      <c r="H576" s="7">
        <v>44854</v>
      </c>
      <c r="I576" s="6">
        <v>2280000</v>
      </c>
      <c r="J576" s="6">
        <v>410400</v>
      </c>
      <c r="K576" s="4">
        <v>29419090</v>
      </c>
      <c r="L576" s="3" t="s">
        <v>1669</v>
      </c>
      <c r="M576" s="3" t="s">
        <v>36</v>
      </c>
      <c r="N576" s="5">
        <f t="shared" si="8"/>
        <v>18</v>
      </c>
    </row>
    <row r="577" spans="1:14" ht="14.4" x14ac:dyDescent="0.3">
      <c r="A577" s="3" t="s">
        <v>1862</v>
      </c>
      <c r="B577" s="3" t="s">
        <v>116</v>
      </c>
      <c r="C577" s="3" t="s">
        <v>20</v>
      </c>
      <c r="D577" s="3" t="s">
        <v>780</v>
      </c>
      <c r="E577" s="3" t="s">
        <v>22</v>
      </c>
      <c r="F577" s="3" t="s">
        <v>1863</v>
      </c>
      <c r="G577" s="3" t="s">
        <v>3718</v>
      </c>
      <c r="H577" s="7">
        <v>44854</v>
      </c>
      <c r="I577" s="6">
        <v>43987.56</v>
      </c>
      <c r="J577" s="6">
        <v>7917.76</v>
      </c>
      <c r="K577" s="4">
        <v>39239090</v>
      </c>
      <c r="L577" s="3" t="s">
        <v>118</v>
      </c>
      <c r="M577" s="3" t="s">
        <v>36</v>
      </c>
      <c r="N577" s="5">
        <f t="shared" si="8"/>
        <v>17.999998181303987</v>
      </c>
    </row>
    <row r="578" spans="1:14" ht="14.4" x14ac:dyDescent="0.3">
      <c r="A578" s="3" t="s">
        <v>1864</v>
      </c>
      <c r="B578" s="3" t="s">
        <v>94</v>
      </c>
      <c r="C578" s="3" t="s">
        <v>26</v>
      </c>
      <c r="D578" s="3" t="s">
        <v>95</v>
      </c>
      <c r="E578" s="3" t="s">
        <v>22</v>
      </c>
      <c r="F578" s="3" t="s">
        <v>1865</v>
      </c>
      <c r="G578" s="3" t="s">
        <v>3719</v>
      </c>
      <c r="H578" s="7">
        <v>44854</v>
      </c>
      <c r="I578" s="6">
        <v>93985.600000000006</v>
      </c>
      <c r="J578" s="6">
        <v>15747.4</v>
      </c>
      <c r="K578" s="4">
        <v>48192090</v>
      </c>
      <c r="L578" s="3" t="s">
        <v>97</v>
      </c>
      <c r="M578" s="3" t="s">
        <v>36</v>
      </c>
      <c r="N578" s="5">
        <f t="shared" si="8"/>
        <v>16.755119933266371</v>
      </c>
    </row>
    <row r="579" spans="1:14" ht="14.4" x14ac:dyDescent="0.3">
      <c r="A579" s="3" t="s">
        <v>1866</v>
      </c>
      <c r="B579" s="3" t="s">
        <v>155</v>
      </c>
      <c r="C579" s="3" t="s">
        <v>20</v>
      </c>
      <c r="D579" s="3" t="s">
        <v>156</v>
      </c>
      <c r="E579" s="3" t="s">
        <v>22</v>
      </c>
      <c r="F579" s="3" t="s">
        <v>1867</v>
      </c>
      <c r="G579" s="3" t="s">
        <v>3720</v>
      </c>
      <c r="H579" s="7">
        <v>44854</v>
      </c>
      <c r="I579" s="6">
        <v>59850</v>
      </c>
      <c r="J579" s="6">
        <v>10773</v>
      </c>
      <c r="K579" s="4">
        <v>48191010</v>
      </c>
      <c r="L579" s="3" t="s">
        <v>248</v>
      </c>
      <c r="M579" s="3" t="s">
        <v>1535</v>
      </c>
      <c r="N579" s="5">
        <f t="shared" ref="N579:N642" si="9">J579*100/I579</f>
        <v>18</v>
      </c>
    </row>
    <row r="580" spans="1:14" ht="14.4" x14ac:dyDescent="0.3">
      <c r="A580" s="3" t="s">
        <v>1868</v>
      </c>
      <c r="B580" s="3" t="s">
        <v>49</v>
      </c>
      <c r="C580" s="3" t="s">
        <v>20</v>
      </c>
      <c r="D580" s="3" t="s">
        <v>50</v>
      </c>
      <c r="E580" s="3" t="s">
        <v>22</v>
      </c>
      <c r="F580" s="3" t="s">
        <v>1869</v>
      </c>
      <c r="G580" s="3" t="s">
        <v>3721</v>
      </c>
      <c r="H580" s="7">
        <v>44853</v>
      </c>
      <c r="I580" s="6">
        <v>49136.5</v>
      </c>
      <c r="J580" s="6">
        <v>8844.56</v>
      </c>
      <c r="K580" s="4">
        <v>48192020</v>
      </c>
      <c r="L580" s="3" t="s">
        <v>52</v>
      </c>
      <c r="M580" s="3" t="s">
        <v>32</v>
      </c>
      <c r="N580" s="5">
        <f t="shared" si="9"/>
        <v>17.999979648530115</v>
      </c>
    </row>
    <row r="581" spans="1:14" ht="14.4" x14ac:dyDescent="0.3">
      <c r="A581" s="3" t="s">
        <v>1870</v>
      </c>
      <c r="B581" s="3" t="s">
        <v>1273</v>
      </c>
      <c r="C581" s="3" t="s">
        <v>20</v>
      </c>
      <c r="D581" s="3" t="s">
        <v>156</v>
      </c>
      <c r="E581" s="3" t="s">
        <v>22</v>
      </c>
      <c r="F581" s="3" t="s">
        <v>1871</v>
      </c>
      <c r="G581" s="3" t="s">
        <v>3722</v>
      </c>
      <c r="H581" s="7">
        <v>44852</v>
      </c>
      <c r="I581" s="6">
        <v>48653.3</v>
      </c>
      <c r="J581" s="6">
        <v>8757.6</v>
      </c>
      <c r="K581" s="4">
        <v>4819</v>
      </c>
      <c r="L581" s="3"/>
      <c r="M581" s="3" t="s">
        <v>1576</v>
      </c>
      <c r="N581" s="5">
        <f t="shared" si="9"/>
        <v>18.000012332154242</v>
      </c>
    </row>
    <row r="582" spans="1:14" ht="14.4" x14ac:dyDescent="0.3">
      <c r="A582" s="3" t="s">
        <v>1872</v>
      </c>
      <c r="B582" s="3" t="s">
        <v>1131</v>
      </c>
      <c r="C582" s="3" t="s">
        <v>20</v>
      </c>
      <c r="D582" s="3" t="s">
        <v>1132</v>
      </c>
      <c r="E582" s="3" t="s">
        <v>22</v>
      </c>
      <c r="F582" s="3" t="s">
        <v>1873</v>
      </c>
      <c r="G582" s="3" t="s">
        <v>3723</v>
      </c>
      <c r="H582" s="7">
        <v>44849</v>
      </c>
      <c r="I582" s="6">
        <v>60120</v>
      </c>
      <c r="J582" s="6">
        <v>10821.6</v>
      </c>
      <c r="K582" s="4">
        <v>32050000</v>
      </c>
      <c r="L582" s="3" t="s">
        <v>1874</v>
      </c>
      <c r="M582" s="3" t="s">
        <v>32</v>
      </c>
      <c r="N582" s="5">
        <f t="shared" si="9"/>
        <v>18</v>
      </c>
    </row>
    <row r="583" spans="1:14" ht="14.4" x14ac:dyDescent="0.3">
      <c r="A583" s="3" t="s">
        <v>1875</v>
      </c>
      <c r="B583" s="3" t="s">
        <v>61</v>
      </c>
      <c r="C583" s="3" t="s">
        <v>62</v>
      </c>
      <c r="D583" s="3" t="s">
        <v>57</v>
      </c>
      <c r="E583" s="3" t="s">
        <v>22</v>
      </c>
      <c r="F583" s="3" t="s">
        <v>1876</v>
      </c>
      <c r="G583" s="3">
        <v>865</v>
      </c>
      <c r="H583" s="7">
        <v>44851</v>
      </c>
      <c r="I583" s="6">
        <v>58719</v>
      </c>
      <c r="J583" s="6">
        <v>10569.42</v>
      </c>
      <c r="K583" s="4">
        <v>39219023</v>
      </c>
      <c r="L583" s="3" t="s">
        <v>64</v>
      </c>
      <c r="M583" s="3" t="s">
        <v>516</v>
      </c>
      <c r="N583" s="5">
        <f t="shared" si="9"/>
        <v>18</v>
      </c>
    </row>
    <row r="584" spans="1:14" ht="14.4" x14ac:dyDescent="0.3">
      <c r="A584" s="3" t="s">
        <v>1877</v>
      </c>
      <c r="B584" s="3" t="s">
        <v>993</v>
      </c>
      <c r="C584" s="3" t="s">
        <v>310</v>
      </c>
      <c r="D584" s="3" t="s">
        <v>57</v>
      </c>
      <c r="E584" s="3" t="s">
        <v>80</v>
      </c>
      <c r="F584" s="3" t="s">
        <v>1878</v>
      </c>
      <c r="G584" s="3" t="s">
        <v>3724</v>
      </c>
      <c r="H584" s="7">
        <v>44849</v>
      </c>
      <c r="I584" s="6">
        <v>38019</v>
      </c>
      <c r="J584" s="6">
        <v>6843.42</v>
      </c>
      <c r="K584" s="4">
        <v>29362940</v>
      </c>
      <c r="L584" s="3" t="s">
        <v>1879</v>
      </c>
      <c r="M584" s="3" t="s">
        <v>107</v>
      </c>
      <c r="N584" s="5">
        <f t="shared" si="9"/>
        <v>18</v>
      </c>
    </row>
    <row r="585" spans="1:14" ht="14.4" x14ac:dyDescent="0.3">
      <c r="A585" s="3" t="s">
        <v>1880</v>
      </c>
      <c r="B585" s="3" t="s">
        <v>94</v>
      </c>
      <c r="C585" s="3" t="s">
        <v>26</v>
      </c>
      <c r="D585" s="3" t="s">
        <v>95</v>
      </c>
      <c r="E585" s="3" t="s">
        <v>22</v>
      </c>
      <c r="F585" s="3" t="s">
        <v>1881</v>
      </c>
      <c r="G585" s="3" t="s">
        <v>3725</v>
      </c>
      <c r="H585" s="7">
        <v>44849</v>
      </c>
      <c r="I585" s="6">
        <v>51803.7</v>
      </c>
      <c r="J585" s="6">
        <v>9324.68</v>
      </c>
      <c r="K585" s="4">
        <v>48192090</v>
      </c>
      <c r="L585" s="3" t="s">
        <v>97</v>
      </c>
      <c r="M585" s="3" t="s">
        <v>32</v>
      </c>
      <c r="N585" s="5">
        <f t="shared" si="9"/>
        <v>18.000027025096664</v>
      </c>
    </row>
    <row r="586" spans="1:14" ht="14.4" x14ac:dyDescent="0.3">
      <c r="A586" s="3" t="s">
        <v>1882</v>
      </c>
      <c r="B586" s="3" t="s">
        <v>1822</v>
      </c>
      <c r="C586" s="3" t="s">
        <v>20</v>
      </c>
      <c r="D586" s="3" t="s">
        <v>1011</v>
      </c>
      <c r="E586" s="3" t="s">
        <v>22</v>
      </c>
      <c r="F586" s="3" t="s">
        <v>1883</v>
      </c>
      <c r="G586" s="3" t="s">
        <v>3726</v>
      </c>
      <c r="H586" s="7">
        <v>44848</v>
      </c>
      <c r="I586" s="6">
        <v>195090.6</v>
      </c>
      <c r="J586" s="6">
        <v>35116.31</v>
      </c>
      <c r="K586" s="4">
        <v>7607</v>
      </c>
      <c r="L586" s="3" t="s">
        <v>1884</v>
      </c>
      <c r="M586" s="3" t="s">
        <v>835</v>
      </c>
      <c r="N586" s="5">
        <f t="shared" si="9"/>
        <v>18.000001025164718</v>
      </c>
    </row>
    <row r="587" spans="1:14" ht="14.4" x14ac:dyDescent="0.3">
      <c r="A587" s="3" t="s">
        <v>1885</v>
      </c>
      <c r="B587" s="3" t="s">
        <v>1314</v>
      </c>
      <c r="C587" s="3" t="s">
        <v>1315</v>
      </c>
      <c r="D587" s="3" t="s">
        <v>125</v>
      </c>
      <c r="E587" s="3" t="s">
        <v>1316</v>
      </c>
      <c r="F587" s="3" t="s">
        <v>1886</v>
      </c>
      <c r="G587" s="3" t="s">
        <v>3727</v>
      </c>
      <c r="H587" s="7">
        <v>44849</v>
      </c>
      <c r="I587" s="6">
        <v>49260</v>
      </c>
      <c r="J587" s="6">
        <v>8866.7999999999993</v>
      </c>
      <c r="K587" s="4">
        <v>2926</v>
      </c>
      <c r="L587" s="3" t="s">
        <v>1318</v>
      </c>
      <c r="M587" s="3" t="s">
        <v>1887</v>
      </c>
      <c r="N587" s="5">
        <f t="shared" si="9"/>
        <v>17.999999999999996</v>
      </c>
    </row>
    <row r="588" spans="1:14" ht="14.4" x14ac:dyDescent="0.3">
      <c r="A588" s="3" t="s">
        <v>1888</v>
      </c>
      <c r="B588" s="3" t="s">
        <v>178</v>
      </c>
      <c r="C588" s="3" t="s">
        <v>20</v>
      </c>
      <c r="D588" s="3" t="s">
        <v>50</v>
      </c>
      <c r="E588" s="3" t="s">
        <v>22</v>
      </c>
      <c r="F588" s="3" t="s">
        <v>1889</v>
      </c>
      <c r="G588" s="3" t="s">
        <v>3728</v>
      </c>
      <c r="H588" s="7">
        <v>44847</v>
      </c>
      <c r="I588" s="6">
        <v>55815.43</v>
      </c>
      <c r="J588" s="6">
        <v>10046.780000000001</v>
      </c>
      <c r="K588" s="4">
        <v>76071995</v>
      </c>
      <c r="L588" s="3" t="s">
        <v>180</v>
      </c>
      <c r="M588" s="3" t="s">
        <v>36</v>
      </c>
      <c r="N588" s="5">
        <f t="shared" si="9"/>
        <v>18.000004658210106</v>
      </c>
    </row>
    <row r="589" spans="1:14" ht="14.4" x14ac:dyDescent="0.3">
      <c r="A589" s="3" t="s">
        <v>1890</v>
      </c>
      <c r="B589" s="3" t="s">
        <v>94</v>
      </c>
      <c r="C589" s="3" t="s">
        <v>26</v>
      </c>
      <c r="D589" s="3" t="s">
        <v>95</v>
      </c>
      <c r="E589" s="3" t="s">
        <v>22</v>
      </c>
      <c r="F589" s="3" t="s">
        <v>1891</v>
      </c>
      <c r="G589" s="3" t="s">
        <v>3729</v>
      </c>
      <c r="H589" s="7">
        <v>44847</v>
      </c>
      <c r="I589" s="6">
        <v>55962.8</v>
      </c>
      <c r="J589" s="6">
        <v>10073.299999999999</v>
      </c>
      <c r="K589" s="4">
        <v>48192090</v>
      </c>
      <c r="L589" s="3" t="s">
        <v>97</v>
      </c>
      <c r="M589" s="3" t="s">
        <v>36</v>
      </c>
      <c r="N589" s="5">
        <f t="shared" si="9"/>
        <v>17.999992852394801</v>
      </c>
    </row>
    <row r="590" spans="1:14" ht="14.4" x14ac:dyDescent="0.3">
      <c r="A590" s="3" t="s">
        <v>1892</v>
      </c>
      <c r="B590" s="3" t="s">
        <v>25</v>
      </c>
      <c r="C590" s="3" t="s">
        <v>26</v>
      </c>
      <c r="D590" s="3" t="s">
        <v>27</v>
      </c>
      <c r="E590" s="3" t="s">
        <v>28</v>
      </c>
      <c r="F590" s="3" t="s">
        <v>1893</v>
      </c>
      <c r="G590" s="3" t="s">
        <v>3730</v>
      </c>
      <c r="H590" s="7">
        <v>44846</v>
      </c>
      <c r="I590" s="6">
        <v>460000</v>
      </c>
      <c r="J590" s="6">
        <v>82800</v>
      </c>
      <c r="K590" s="4">
        <v>29420090</v>
      </c>
      <c r="L590" s="3" t="s">
        <v>552</v>
      </c>
      <c r="M590" s="3" t="s">
        <v>195</v>
      </c>
      <c r="N590" s="5">
        <f t="shared" si="9"/>
        <v>18</v>
      </c>
    </row>
    <row r="591" spans="1:14" ht="14.4" x14ac:dyDescent="0.3">
      <c r="A591" s="3" t="s">
        <v>1894</v>
      </c>
      <c r="B591" s="3" t="s">
        <v>94</v>
      </c>
      <c r="C591" s="3" t="s">
        <v>26</v>
      </c>
      <c r="D591" s="3" t="s">
        <v>95</v>
      </c>
      <c r="E591" s="3" t="s">
        <v>22</v>
      </c>
      <c r="F591" s="3" t="s">
        <v>1895</v>
      </c>
      <c r="G591" s="3" t="s">
        <v>3731</v>
      </c>
      <c r="H591" s="7">
        <v>44846</v>
      </c>
      <c r="I591" s="6">
        <v>81675</v>
      </c>
      <c r="J591" s="6">
        <v>14701.5</v>
      </c>
      <c r="K591" s="4">
        <v>48192090</v>
      </c>
      <c r="L591" s="3" t="s">
        <v>97</v>
      </c>
      <c r="M591" s="3" t="s">
        <v>195</v>
      </c>
      <c r="N591" s="5">
        <f t="shared" si="9"/>
        <v>18</v>
      </c>
    </row>
    <row r="592" spans="1:14" ht="14.4" x14ac:dyDescent="0.3">
      <c r="A592" s="3" t="s">
        <v>1896</v>
      </c>
      <c r="B592" s="3" t="s">
        <v>1822</v>
      </c>
      <c r="C592" s="3" t="s">
        <v>20</v>
      </c>
      <c r="D592" s="3" t="s">
        <v>1011</v>
      </c>
      <c r="E592" s="3" t="s">
        <v>22</v>
      </c>
      <c r="F592" s="3" t="s">
        <v>1897</v>
      </c>
      <c r="G592" s="3" t="s">
        <v>3732</v>
      </c>
      <c r="H592" s="7">
        <v>44845</v>
      </c>
      <c r="I592" s="6">
        <v>42430.15</v>
      </c>
      <c r="J592" s="6">
        <v>7637.43</v>
      </c>
      <c r="K592" s="4">
        <v>7607</v>
      </c>
      <c r="L592" s="3" t="s">
        <v>131</v>
      </c>
      <c r="M592" s="3" t="s">
        <v>280</v>
      </c>
      <c r="N592" s="5">
        <f t="shared" si="9"/>
        <v>18.00000707044401</v>
      </c>
    </row>
    <row r="593" spans="1:14" ht="14.4" x14ac:dyDescent="0.3">
      <c r="A593" s="3" t="s">
        <v>1898</v>
      </c>
      <c r="B593" s="3" t="s">
        <v>84</v>
      </c>
      <c r="C593" s="3" t="s">
        <v>20</v>
      </c>
      <c r="D593" s="3" t="s">
        <v>239</v>
      </c>
      <c r="E593" s="3" t="s">
        <v>22</v>
      </c>
      <c r="F593" s="3" t="s">
        <v>1899</v>
      </c>
      <c r="G593" s="3" t="s">
        <v>3733</v>
      </c>
      <c r="H593" s="7">
        <v>44844</v>
      </c>
      <c r="I593" s="6">
        <v>20750.7</v>
      </c>
      <c r="J593" s="6">
        <v>3735.13</v>
      </c>
      <c r="K593" s="4">
        <v>3921</v>
      </c>
      <c r="L593" s="3" t="s">
        <v>118</v>
      </c>
      <c r="M593" s="3" t="s">
        <v>1900</v>
      </c>
      <c r="N593" s="5">
        <f t="shared" si="9"/>
        <v>18.000019276458143</v>
      </c>
    </row>
    <row r="594" spans="1:14" ht="14.4" x14ac:dyDescent="0.3">
      <c r="A594" s="3" t="s">
        <v>1901</v>
      </c>
      <c r="B594" s="3" t="s">
        <v>61</v>
      </c>
      <c r="C594" s="3" t="s">
        <v>62</v>
      </c>
      <c r="D594" s="3" t="s">
        <v>57</v>
      </c>
      <c r="E594" s="3" t="s">
        <v>1902</v>
      </c>
      <c r="F594" s="3" t="s">
        <v>1903</v>
      </c>
      <c r="G594" s="3">
        <v>843</v>
      </c>
      <c r="H594" s="7">
        <v>44846</v>
      </c>
      <c r="I594" s="6">
        <v>70688.5</v>
      </c>
      <c r="J594" s="6">
        <v>12723.94</v>
      </c>
      <c r="K594" s="4">
        <v>39219023</v>
      </c>
      <c r="L594" s="3" t="s">
        <v>64</v>
      </c>
      <c r="M594" s="3" t="s">
        <v>195</v>
      </c>
      <c r="N594" s="5">
        <f t="shared" si="9"/>
        <v>18.000014146572639</v>
      </c>
    </row>
    <row r="595" spans="1:14" ht="14.4" x14ac:dyDescent="0.3">
      <c r="A595" s="3" t="s">
        <v>1904</v>
      </c>
      <c r="B595" s="3" t="s">
        <v>1516</v>
      </c>
      <c r="C595" s="3" t="s">
        <v>26</v>
      </c>
      <c r="D595" s="3" t="s">
        <v>1517</v>
      </c>
      <c r="E595" s="3" t="s">
        <v>1518</v>
      </c>
      <c r="F595" s="3" t="s">
        <v>1905</v>
      </c>
      <c r="G595" s="3">
        <v>2211134</v>
      </c>
      <c r="H595" s="7">
        <v>44846</v>
      </c>
      <c r="I595" s="6">
        <v>858750</v>
      </c>
      <c r="J595" s="6"/>
      <c r="K595" s="4">
        <v>29419090</v>
      </c>
      <c r="L595" s="3" t="s">
        <v>1906</v>
      </c>
      <c r="M595" s="3" t="s">
        <v>1615</v>
      </c>
      <c r="N595" s="5">
        <f t="shared" si="9"/>
        <v>0</v>
      </c>
    </row>
    <row r="596" spans="1:14" ht="14.4" x14ac:dyDescent="0.3">
      <c r="A596" s="3" t="s">
        <v>1907</v>
      </c>
      <c r="B596" s="3" t="s">
        <v>150</v>
      </c>
      <c r="C596" s="3" t="s">
        <v>134</v>
      </c>
      <c r="D596" s="3" t="s">
        <v>151</v>
      </c>
      <c r="E596" s="3" t="s">
        <v>22</v>
      </c>
      <c r="F596" s="3" t="s">
        <v>1908</v>
      </c>
      <c r="G596" s="3" t="s">
        <v>3734</v>
      </c>
      <c r="H596" s="7">
        <v>44846</v>
      </c>
      <c r="I596" s="6">
        <v>56250</v>
      </c>
      <c r="J596" s="6">
        <v>10125</v>
      </c>
      <c r="K596" s="4">
        <v>39233090</v>
      </c>
      <c r="L596" s="3" t="s">
        <v>722</v>
      </c>
      <c r="M596" s="3" t="s">
        <v>280</v>
      </c>
      <c r="N596" s="5">
        <f t="shared" si="9"/>
        <v>18</v>
      </c>
    </row>
    <row r="597" spans="1:14" ht="14.4" x14ac:dyDescent="0.3">
      <c r="A597" s="3" t="s">
        <v>1909</v>
      </c>
      <c r="B597" s="3" t="s">
        <v>55</v>
      </c>
      <c r="C597" s="3" t="s">
        <v>56</v>
      </c>
      <c r="D597" s="3" t="s">
        <v>57</v>
      </c>
      <c r="E597" s="3" t="s">
        <v>22</v>
      </c>
      <c r="F597" s="3" t="s">
        <v>1910</v>
      </c>
      <c r="G597" s="3" t="s">
        <v>3735</v>
      </c>
      <c r="H597" s="7">
        <v>44845</v>
      </c>
      <c r="I597" s="6">
        <v>34500</v>
      </c>
      <c r="J597" s="6">
        <v>6210</v>
      </c>
      <c r="K597" s="4">
        <v>96020030</v>
      </c>
      <c r="L597" s="3"/>
      <c r="M597" s="3" t="s">
        <v>675</v>
      </c>
      <c r="N597" s="5">
        <f t="shared" si="9"/>
        <v>18</v>
      </c>
    </row>
    <row r="598" spans="1:14" ht="14.4" x14ac:dyDescent="0.3">
      <c r="A598" s="3" t="s">
        <v>1911</v>
      </c>
      <c r="B598" s="3" t="s">
        <v>55</v>
      </c>
      <c r="C598" s="3" t="s">
        <v>56</v>
      </c>
      <c r="D598" s="3" t="s">
        <v>57</v>
      </c>
      <c r="E598" s="3" t="s">
        <v>22</v>
      </c>
      <c r="F598" s="3" t="s">
        <v>1912</v>
      </c>
      <c r="G598" s="3" t="s">
        <v>3736</v>
      </c>
      <c r="H598" s="7">
        <v>44845</v>
      </c>
      <c r="I598" s="6">
        <v>227700</v>
      </c>
      <c r="J598" s="6">
        <v>40986</v>
      </c>
      <c r="K598" s="4">
        <v>29420090</v>
      </c>
      <c r="L598" s="3"/>
      <c r="M598" s="3" t="s">
        <v>675</v>
      </c>
      <c r="N598" s="5">
        <f t="shared" si="9"/>
        <v>18</v>
      </c>
    </row>
    <row r="599" spans="1:14" ht="14.4" x14ac:dyDescent="0.3">
      <c r="A599" s="3" t="s">
        <v>1913</v>
      </c>
      <c r="B599" s="3" t="s">
        <v>94</v>
      </c>
      <c r="C599" s="3" t="s">
        <v>26</v>
      </c>
      <c r="D599" s="3" t="s">
        <v>95</v>
      </c>
      <c r="E599" s="3" t="s">
        <v>22</v>
      </c>
      <c r="F599" s="3" t="s">
        <v>1914</v>
      </c>
      <c r="G599" s="3" t="s">
        <v>3737</v>
      </c>
      <c r="H599" s="7">
        <v>44844</v>
      </c>
      <c r="I599" s="6">
        <v>48709.48</v>
      </c>
      <c r="J599" s="6">
        <v>8767.7199999999993</v>
      </c>
      <c r="K599" s="4">
        <v>48192090</v>
      </c>
      <c r="L599" s="3" t="s">
        <v>97</v>
      </c>
      <c r="M599" s="3" t="s">
        <v>516</v>
      </c>
      <c r="N599" s="5">
        <f t="shared" si="9"/>
        <v>18.00002792064296</v>
      </c>
    </row>
    <row r="600" spans="1:14" ht="14.4" x14ac:dyDescent="0.3">
      <c r="A600" s="3" t="s">
        <v>1915</v>
      </c>
      <c r="B600" s="3" t="s">
        <v>111</v>
      </c>
      <c r="C600" s="3" t="s">
        <v>20</v>
      </c>
      <c r="D600" s="3" t="s">
        <v>112</v>
      </c>
      <c r="E600" s="3" t="s">
        <v>22</v>
      </c>
      <c r="F600" s="3" t="s">
        <v>1916</v>
      </c>
      <c r="G600" s="3">
        <v>868</v>
      </c>
      <c r="H600" s="7">
        <v>44844</v>
      </c>
      <c r="I600" s="6">
        <v>8000</v>
      </c>
      <c r="J600" s="6">
        <v>1440</v>
      </c>
      <c r="K600" s="4">
        <v>48211020</v>
      </c>
      <c r="L600" s="3"/>
      <c r="M600" s="3" t="s">
        <v>516</v>
      </c>
      <c r="N600" s="5">
        <f t="shared" si="9"/>
        <v>18</v>
      </c>
    </row>
    <row r="601" spans="1:14" ht="14.4" x14ac:dyDescent="0.3">
      <c r="A601" s="3" t="s">
        <v>1917</v>
      </c>
      <c r="B601" s="3" t="s">
        <v>1918</v>
      </c>
      <c r="C601" s="3" t="s">
        <v>20</v>
      </c>
      <c r="D601" s="3" t="s">
        <v>112</v>
      </c>
      <c r="E601" s="3" t="s">
        <v>1919</v>
      </c>
      <c r="F601" s="3" t="s">
        <v>1920</v>
      </c>
      <c r="G601" s="3">
        <v>1428</v>
      </c>
      <c r="H601" s="7">
        <v>44844</v>
      </c>
      <c r="I601" s="6">
        <v>30582.5</v>
      </c>
      <c r="J601" s="6">
        <v>5504.86</v>
      </c>
      <c r="K601" s="4">
        <v>48192020</v>
      </c>
      <c r="L601" s="3"/>
      <c r="M601" s="3" t="s">
        <v>516</v>
      </c>
      <c r="N601" s="5">
        <f t="shared" si="9"/>
        <v>18.000032698438648</v>
      </c>
    </row>
    <row r="602" spans="1:14" ht="14.4" x14ac:dyDescent="0.3">
      <c r="A602" s="3" t="s">
        <v>1921</v>
      </c>
      <c r="B602" s="3" t="s">
        <v>178</v>
      </c>
      <c r="C602" s="3" t="s">
        <v>20</v>
      </c>
      <c r="D602" s="3" t="s">
        <v>50</v>
      </c>
      <c r="E602" s="3" t="s">
        <v>22</v>
      </c>
      <c r="F602" s="3" t="s">
        <v>1922</v>
      </c>
      <c r="G602" s="3" t="s">
        <v>3738</v>
      </c>
      <c r="H602" s="7">
        <v>44841</v>
      </c>
      <c r="I602" s="6">
        <v>92781.45</v>
      </c>
      <c r="J602" s="6">
        <v>16700.66</v>
      </c>
      <c r="K602" s="4">
        <v>76071995</v>
      </c>
      <c r="L602" s="3" t="s">
        <v>180</v>
      </c>
      <c r="M602" s="3" t="s">
        <v>92</v>
      </c>
      <c r="N602" s="5">
        <f t="shared" si="9"/>
        <v>17.999998922198351</v>
      </c>
    </row>
    <row r="603" spans="1:14" ht="14.4" x14ac:dyDescent="0.3">
      <c r="A603" s="3" t="s">
        <v>1923</v>
      </c>
      <c r="B603" s="3" t="s">
        <v>25</v>
      </c>
      <c r="C603" s="3" t="s">
        <v>26</v>
      </c>
      <c r="D603" s="3" t="s">
        <v>27</v>
      </c>
      <c r="E603" s="3" t="s">
        <v>28</v>
      </c>
      <c r="F603" s="3" t="s">
        <v>1924</v>
      </c>
      <c r="G603" s="3" t="s">
        <v>3739</v>
      </c>
      <c r="H603" s="7">
        <v>44841</v>
      </c>
      <c r="I603" s="6">
        <v>1710000</v>
      </c>
      <c r="J603" s="6">
        <v>307800</v>
      </c>
      <c r="K603" s="4">
        <v>29419090</v>
      </c>
      <c r="L603" s="3" t="s">
        <v>1669</v>
      </c>
      <c r="M603" s="3" t="s">
        <v>516</v>
      </c>
      <c r="N603" s="5">
        <f t="shared" si="9"/>
        <v>18</v>
      </c>
    </row>
    <row r="604" spans="1:14" ht="14.4" x14ac:dyDescent="0.3">
      <c r="A604" s="3" t="s">
        <v>1925</v>
      </c>
      <c r="B604" s="3" t="s">
        <v>161</v>
      </c>
      <c r="C604" s="3" t="s">
        <v>56</v>
      </c>
      <c r="D604" s="3" t="s">
        <v>57</v>
      </c>
      <c r="E604" s="3" t="s">
        <v>162</v>
      </c>
      <c r="F604" s="3" t="s">
        <v>1926</v>
      </c>
      <c r="G604" s="3" t="s">
        <v>3740</v>
      </c>
      <c r="H604" s="7">
        <v>44841</v>
      </c>
      <c r="I604" s="6">
        <v>1100550</v>
      </c>
      <c r="J604" s="6">
        <v>198099</v>
      </c>
      <c r="K604" s="4">
        <v>29419090</v>
      </c>
      <c r="L604" s="3" t="s">
        <v>1360</v>
      </c>
      <c r="M604" s="3" t="s">
        <v>516</v>
      </c>
      <c r="N604" s="5">
        <f t="shared" si="9"/>
        <v>18</v>
      </c>
    </row>
    <row r="605" spans="1:14" ht="14.4" x14ac:dyDescent="0.3">
      <c r="A605" s="3" t="s">
        <v>1927</v>
      </c>
      <c r="B605" s="3" t="s">
        <v>89</v>
      </c>
      <c r="C605" s="3" t="s">
        <v>20</v>
      </c>
      <c r="D605" s="3" t="s">
        <v>50</v>
      </c>
      <c r="E605" s="3" t="s">
        <v>22</v>
      </c>
      <c r="F605" s="3" t="s">
        <v>1928</v>
      </c>
      <c r="G605" s="3">
        <v>687</v>
      </c>
      <c r="H605" s="7">
        <v>44841</v>
      </c>
      <c r="I605" s="6">
        <v>52392.3</v>
      </c>
      <c r="J605" s="6">
        <v>9430.6200000000008</v>
      </c>
      <c r="K605" s="4">
        <v>76071994</v>
      </c>
      <c r="L605" s="3" t="s">
        <v>744</v>
      </c>
      <c r="M605" s="3" t="s">
        <v>516</v>
      </c>
      <c r="N605" s="5">
        <f t="shared" si="9"/>
        <v>18.000011452064523</v>
      </c>
    </row>
    <row r="606" spans="1:14" ht="14.4" x14ac:dyDescent="0.3">
      <c r="A606" s="3" t="s">
        <v>1929</v>
      </c>
      <c r="B606" s="3" t="s">
        <v>161</v>
      </c>
      <c r="C606" s="3" t="s">
        <v>56</v>
      </c>
      <c r="D606" s="3" t="s">
        <v>57</v>
      </c>
      <c r="E606" s="3" t="s">
        <v>162</v>
      </c>
      <c r="F606" s="3" t="s">
        <v>1930</v>
      </c>
      <c r="G606" s="3" t="s">
        <v>3741</v>
      </c>
      <c r="H606" s="7">
        <v>44862</v>
      </c>
      <c r="I606" s="6">
        <v>1520760</v>
      </c>
      <c r="J606" s="6">
        <v>273736.8</v>
      </c>
      <c r="K606" s="4">
        <v>29411030</v>
      </c>
      <c r="L606" s="3" t="s">
        <v>1809</v>
      </c>
      <c r="M606" s="3" t="s">
        <v>104</v>
      </c>
      <c r="N606" s="5">
        <f t="shared" si="9"/>
        <v>18</v>
      </c>
    </row>
    <row r="607" spans="1:14" ht="14.4" x14ac:dyDescent="0.3">
      <c r="A607" s="3" t="s">
        <v>1931</v>
      </c>
      <c r="B607" s="3" t="s">
        <v>66</v>
      </c>
      <c r="C607" s="3" t="s">
        <v>67</v>
      </c>
      <c r="D607" s="3" t="s">
        <v>68</v>
      </c>
      <c r="E607" s="3" t="s">
        <v>69</v>
      </c>
      <c r="F607" s="3" t="s">
        <v>1932</v>
      </c>
      <c r="G607" s="3" t="s">
        <v>3742</v>
      </c>
      <c r="H607" s="7">
        <v>44860</v>
      </c>
      <c r="I607" s="6">
        <v>82290</v>
      </c>
      <c r="J607" s="6">
        <v>14812.2</v>
      </c>
      <c r="K607" s="4">
        <v>29372200</v>
      </c>
      <c r="L607" s="3" t="s">
        <v>1933</v>
      </c>
      <c r="M607" s="3" t="s">
        <v>72</v>
      </c>
      <c r="N607" s="5">
        <f t="shared" si="9"/>
        <v>18</v>
      </c>
    </row>
    <row r="608" spans="1:14" ht="14.4" x14ac:dyDescent="0.3">
      <c r="A608" s="3" t="s">
        <v>1934</v>
      </c>
      <c r="B608" s="3" t="s">
        <v>178</v>
      </c>
      <c r="C608" s="3" t="s">
        <v>20</v>
      </c>
      <c r="D608" s="3" t="s">
        <v>50</v>
      </c>
      <c r="E608" s="3" t="s">
        <v>22</v>
      </c>
      <c r="F608" s="3" t="s">
        <v>1935</v>
      </c>
      <c r="G608" s="3" t="s">
        <v>3743</v>
      </c>
      <c r="H608" s="7">
        <v>44855</v>
      </c>
      <c r="I608" s="6">
        <v>52424.05</v>
      </c>
      <c r="J608" s="6">
        <v>9436.32</v>
      </c>
      <c r="K608" s="4">
        <v>76071995</v>
      </c>
      <c r="L608" s="3" t="s">
        <v>180</v>
      </c>
      <c r="M608" s="3" t="s">
        <v>98</v>
      </c>
      <c r="N608" s="5">
        <f t="shared" si="9"/>
        <v>17.999982832306927</v>
      </c>
    </row>
    <row r="609" spans="1:14" ht="14.4" x14ac:dyDescent="0.3">
      <c r="A609" s="3" t="s">
        <v>1936</v>
      </c>
      <c r="B609" s="3" t="s">
        <v>542</v>
      </c>
      <c r="C609" s="3" t="s">
        <v>20</v>
      </c>
      <c r="D609" s="3" t="s">
        <v>543</v>
      </c>
      <c r="E609" s="3" t="s">
        <v>22</v>
      </c>
      <c r="F609" s="3" t="s">
        <v>1937</v>
      </c>
      <c r="G609" s="3">
        <v>46</v>
      </c>
      <c r="H609" s="7">
        <v>44853</v>
      </c>
      <c r="I609" s="6">
        <v>267450</v>
      </c>
      <c r="J609" s="6">
        <v>48141</v>
      </c>
      <c r="K609" s="4">
        <v>29420090</v>
      </c>
      <c r="L609" s="3"/>
      <c r="M609" s="3" t="s">
        <v>1938</v>
      </c>
      <c r="N609" s="5">
        <f t="shared" si="9"/>
        <v>18</v>
      </c>
    </row>
    <row r="610" spans="1:14" ht="14.4" x14ac:dyDescent="0.3">
      <c r="A610" s="3" t="s">
        <v>1939</v>
      </c>
      <c r="B610" s="3" t="s">
        <v>1940</v>
      </c>
      <c r="C610" s="3" t="s">
        <v>20</v>
      </c>
      <c r="D610" s="3" t="s">
        <v>1941</v>
      </c>
      <c r="E610" s="3" t="s">
        <v>22</v>
      </c>
      <c r="F610" s="3" t="s">
        <v>1942</v>
      </c>
      <c r="G610" s="3">
        <v>105</v>
      </c>
      <c r="H610" s="7">
        <v>44865</v>
      </c>
      <c r="I610" s="6">
        <v>79004.240000000005</v>
      </c>
      <c r="J610" s="6">
        <v>14220.76</v>
      </c>
      <c r="K610" s="4">
        <v>7210</v>
      </c>
      <c r="L610" s="3"/>
      <c r="M610" s="3" t="s">
        <v>1943</v>
      </c>
      <c r="N610" s="5">
        <f t="shared" si="9"/>
        <v>17.999995949584477</v>
      </c>
    </row>
    <row r="611" spans="1:14" ht="14.4" x14ac:dyDescent="0.3">
      <c r="A611" s="3" t="s">
        <v>1944</v>
      </c>
      <c r="B611" s="3" t="s">
        <v>905</v>
      </c>
      <c r="C611" s="3" t="s">
        <v>672</v>
      </c>
      <c r="D611" s="3" t="s">
        <v>906</v>
      </c>
      <c r="E611" s="3" t="s">
        <v>80</v>
      </c>
      <c r="F611" s="3" t="s">
        <v>1945</v>
      </c>
      <c r="G611" s="3">
        <v>2850</v>
      </c>
      <c r="H611" s="7">
        <v>44862</v>
      </c>
      <c r="I611" s="6">
        <v>258019.1</v>
      </c>
      <c r="J611" s="6"/>
      <c r="K611" s="4">
        <v>39204900</v>
      </c>
      <c r="L611" s="3" t="s">
        <v>1946</v>
      </c>
      <c r="M611" s="3" t="s">
        <v>1947</v>
      </c>
      <c r="N611" s="5">
        <f t="shared" si="9"/>
        <v>0</v>
      </c>
    </row>
    <row r="612" spans="1:14" ht="14.4" x14ac:dyDescent="0.3">
      <c r="A612" s="3" t="s">
        <v>1948</v>
      </c>
      <c r="B612" s="3" t="s">
        <v>922</v>
      </c>
      <c r="C612" s="3" t="s">
        <v>923</v>
      </c>
      <c r="D612" s="3" t="s">
        <v>924</v>
      </c>
      <c r="E612" s="3" t="s">
        <v>69</v>
      </c>
      <c r="F612" s="3" t="s">
        <v>1949</v>
      </c>
      <c r="G612" s="3" t="s">
        <v>3744</v>
      </c>
      <c r="H612" s="7">
        <v>44855</v>
      </c>
      <c r="I612" s="6">
        <v>703800</v>
      </c>
      <c r="J612" s="6">
        <v>126684</v>
      </c>
      <c r="K612" s="4">
        <v>292421</v>
      </c>
      <c r="L612" s="3" t="s">
        <v>926</v>
      </c>
      <c r="M612" s="3" t="s">
        <v>32</v>
      </c>
      <c r="N612" s="5">
        <f t="shared" si="9"/>
        <v>18</v>
      </c>
    </row>
    <row r="613" spans="1:14" ht="14.4" x14ac:dyDescent="0.3">
      <c r="A613" s="3" t="s">
        <v>1950</v>
      </c>
      <c r="B613" s="3" t="s">
        <v>1501</v>
      </c>
      <c r="C613" s="3" t="s">
        <v>134</v>
      </c>
      <c r="D613" s="3" t="s">
        <v>1502</v>
      </c>
      <c r="E613" s="3" t="s">
        <v>285</v>
      </c>
      <c r="F613" s="3" t="s">
        <v>1951</v>
      </c>
      <c r="G613" s="3" t="s">
        <v>3745</v>
      </c>
      <c r="H613" s="7">
        <v>44851</v>
      </c>
      <c r="I613" s="6">
        <v>332250</v>
      </c>
      <c r="J613" s="6">
        <v>59805</v>
      </c>
      <c r="K613" s="4">
        <v>29224990</v>
      </c>
      <c r="L613" s="3" t="s">
        <v>1504</v>
      </c>
      <c r="M613" s="3" t="s">
        <v>98</v>
      </c>
      <c r="N613" s="5">
        <f t="shared" si="9"/>
        <v>18</v>
      </c>
    </row>
    <row r="614" spans="1:14" ht="14.4" x14ac:dyDescent="0.3">
      <c r="A614" s="3" t="s">
        <v>1952</v>
      </c>
      <c r="B614" s="3" t="s">
        <v>1953</v>
      </c>
      <c r="C614" s="3" t="s">
        <v>20</v>
      </c>
      <c r="D614" s="3" t="s">
        <v>1954</v>
      </c>
      <c r="E614" s="3" t="s">
        <v>22</v>
      </c>
      <c r="F614" s="3" t="s">
        <v>1955</v>
      </c>
      <c r="G614" s="3" t="s">
        <v>3746</v>
      </c>
      <c r="H614" s="7">
        <v>44849</v>
      </c>
      <c r="I614" s="6">
        <v>2700</v>
      </c>
      <c r="J614" s="6">
        <v>486</v>
      </c>
      <c r="K614" s="4">
        <v>84229090</v>
      </c>
      <c r="L614" s="3" t="s">
        <v>1956</v>
      </c>
      <c r="M614" s="3" t="s">
        <v>1590</v>
      </c>
      <c r="N614" s="5">
        <f t="shared" si="9"/>
        <v>18</v>
      </c>
    </row>
    <row r="615" spans="1:14" ht="14.4" x14ac:dyDescent="0.3">
      <c r="A615" s="3" t="s">
        <v>1957</v>
      </c>
      <c r="B615" s="3" t="s">
        <v>1958</v>
      </c>
      <c r="C615" s="3" t="s">
        <v>20</v>
      </c>
      <c r="D615" s="3" t="s">
        <v>953</v>
      </c>
      <c r="E615" s="3" t="s">
        <v>1959</v>
      </c>
      <c r="F615" s="3" t="s">
        <v>1960</v>
      </c>
      <c r="G615" s="3">
        <v>74</v>
      </c>
      <c r="H615" s="7">
        <v>44838</v>
      </c>
      <c r="I615" s="6">
        <v>70500</v>
      </c>
      <c r="J615" s="6">
        <v>12690</v>
      </c>
      <c r="K615" s="4">
        <v>29420014</v>
      </c>
      <c r="L615" s="3" t="s">
        <v>1961</v>
      </c>
      <c r="M615" s="3" t="s">
        <v>936</v>
      </c>
      <c r="N615" s="5">
        <f t="shared" si="9"/>
        <v>18</v>
      </c>
    </row>
    <row r="616" spans="1:14" ht="14.4" x14ac:dyDescent="0.3">
      <c r="A616" s="3" t="s">
        <v>1962</v>
      </c>
      <c r="B616" s="3" t="s">
        <v>952</v>
      </c>
      <c r="C616" s="3" t="s">
        <v>20</v>
      </c>
      <c r="D616" s="3" t="s">
        <v>953</v>
      </c>
      <c r="E616" s="3" t="s">
        <v>22</v>
      </c>
      <c r="F616" s="3" t="s">
        <v>1963</v>
      </c>
      <c r="G616" s="3" t="s">
        <v>3747</v>
      </c>
      <c r="H616" s="7">
        <v>44834</v>
      </c>
      <c r="I616" s="6">
        <v>89500</v>
      </c>
      <c r="J616" s="6">
        <v>16110</v>
      </c>
      <c r="K616" s="4">
        <v>29420090</v>
      </c>
      <c r="L616" s="3" t="s">
        <v>955</v>
      </c>
      <c r="M616" s="3" t="s">
        <v>675</v>
      </c>
      <c r="N616" s="5">
        <f t="shared" si="9"/>
        <v>18</v>
      </c>
    </row>
    <row r="617" spans="1:14" ht="14.4" x14ac:dyDescent="0.3">
      <c r="A617" s="3" t="s">
        <v>1964</v>
      </c>
      <c r="B617" s="3" t="s">
        <v>905</v>
      </c>
      <c r="C617" s="3" t="s">
        <v>672</v>
      </c>
      <c r="D617" s="3" t="s">
        <v>906</v>
      </c>
      <c r="E617" s="3" t="s">
        <v>80</v>
      </c>
      <c r="F617" s="3" t="s">
        <v>1965</v>
      </c>
      <c r="G617" s="3">
        <v>2554</v>
      </c>
      <c r="H617" s="7">
        <v>44835</v>
      </c>
      <c r="I617" s="6">
        <v>175814.7</v>
      </c>
      <c r="J617" s="6"/>
      <c r="K617" s="4">
        <v>39204900</v>
      </c>
      <c r="L617" s="3" t="s">
        <v>929</v>
      </c>
      <c r="M617" s="3" t="s">
        <v>1966</v>
      </c>
      <c r="N617" s="5">
        <f t="shared" si="9"/>
        <v>0</v>
      </c>
    </row>
    <row r="618" spans="1:14" ht="14.4" x14ac:dyDescent="0.3">
      <c r="A618" s="3" t="s">
        <v>1967</v>
      </c>
      <c r="B618" s="3" t="s">
        <v>1968</v>
      </c>
      <c r="C618" s="3" t="s">
        <v>20</v>
      </c>
      <c r="D618" s="3" t="s">
        <v>1969</v>
      </c>
      <c r="E618" s="3" t="s">
        <v>1970</v>
      </c>
      <c r="F618" s="3" t="s">
        <v>1971</v>
      </c>
      <c r="G618" s="3" t="s">
        <v>3748</v>
      </c>
      <c r="H618" s="7">
        <v>44862</v>
      </c>
      <c r="I618" s="6">
        <v>96178</v>
      </c>
      <c r="J618" s="6">
        <v>15581.74</v>
      </c>
      <c r="K618" s="4">
        <v>48192020</v>
      </c>
      <c r="L618" s="3" t="s">
        <v>1972</v>
      </c>
      <c r="M618" s="3" t="s">
        <v>1973</v>
      </c>
      <c r="N618" s="5">
        <f t="shared" si="9"/>
        <v>16.20093992389112</v>
      </c>
    </row>
    <row r="619" spans="1:14" ht="14.4" x14ac:dyDescent="0.3">
      <c r="A619" s="3" t="s">
        <v>1974</v>
      </c>
      <c r="B619" s="3" t="s">
        <v>829</v>
      </c>
      <c r="C619" s="3" t="s">
        <v>56</v>
      </c>
      <c r="D619" s="3" t="s">
        <v>830</v>
      </c>
      <c r="E619" s="3" t="s">
        <v>831</v>
      </c>
      <c r="F619" s="3" t="s">
        <v>1975</v>
      </c>
      <c r="G619" s="3">
        <v>405</v>
      </c>
      <c r="H619" s="7">
        <v>44856</v>
      </c>
      <c r="I619" s="6">
        <v>87033.9</v>
      </c>
      <c r="J619" s="6">
        <v>15666.1</v>
      </c>
      <c r="K619" s="4">
        <v>76071995</v>
      </c>
      <c r="L619" s="3"/>
      <c r="M619" s="3" t="s">
        <v>1438</v>
      </c>
      <c r="N619" s="5">
        <f t="shared" si="9"/>
        <v>17.999997702044837</v>
      </c>
    </row>
    <row r="620" spans="1:14" ht="14.4" x14ac:dyDescent="0.3">
      <c r="A620" s="3" t="s">
        <v>1976</v>
      </c>
      <c r="B620" s="3" t="s">
        <v>1416</v>
      </c>
      <c r="C620" s="3" t="s">
        <v>223</v>
      </c>
      <c r="D620" s="3" t="s">
        <v>1417</v>
      </c>
      <c r="E620" s="3" t="s">
        <v>285</v>
      </c>
      <c r="F620" s="3" t="s">
        <v>1977</v>
      </c>
      <c r="G620" s="3" t="s">
        <v>3749</v>
      </c>
      <c r="H620" s="7">
        <v>44849</v>
      </c>
      <c r="I620" s="6">
        <v>570000</v>
      </c>
      <c r="J620" s="6">
        <v>102600</v>
      </c>
      <c r="K620" s="4">
        <v>29419090</v>
      </c>
      <c r="L620" s="3" t="s">
        <v>1419</v>
      </c>
      <c r="M620" s="3" t="s">
        <v>835</v>
      </c>
      <c r="N620" s="5">
        <f t="shared" si="9"/>
        <v>18</v>
      </c>
    </row>
    <row r="621" spans="1:14" ht="14.4" x14ac:dyDescent="0.3">
      <c r="A621" s="3" t="s">
        <v>1978</v>
      </c>
      <c r="B621" s="3" t="s">
        <v>803</v>
      </c>
      <c r="C621" s="3" t="s">
        <v>535</v>
      </c>
      <c r="D621" s="3" t="s">
        <v>804</v>
      </c>
      <c r="E621" s="3" t="s">
        <v>378</v>
      </c>
      <c r="F621" s="3" t="s">
        <v>1979</v>
      </c>
      <c r="G621" s="3" t="s">
        <v>3750</v>
      </c>
      <c r="H621" s="7">
        <v>44846</v>
      </c>
      <c r="I621" s="6">
        <v>39375</v>
      </c>
      <c r="J621" s="6">
        <v>7087.5</v>
      </c>
      <c r="K621" s="4">
        <v>96020030</v>
      </c>
      <c r="L621" s="3"/>
      <c r="M621" s="3" t="s">
        <v>280</v>
      </c>
      <c r="N621" s="5">
        <f t="shared" si="9"/>
        <v>18</v>
      </c>
    </row>
    <row r="622" spans="1:14" ht="14.4" x14ac:dyDescent="0.3">
      <c r="A622" s="3" t="s">
        <v>1980</v>
      </c>
      <c r="B622" s="3" t="s">
        <v>803</v>
      </c>
      <c r="C622" s="3" t="s">
        <v>535</v>
      </c>
      <c r="D622" s="3" t="s">
        <v>804</v>
      </c>
      <c r="E622" s="3" t="s">
        <v>378</v>
      </c>
      <c r="F622" s="3" t="s">
        <v>1981</v>
      </c>
      <c r="G622" s="3" t="s">
        <v>3751</v>
      </c>
      <c r="H622" s="7">
        <v>44844</v>
      </c>
      <c r="I622" s="6">
        <v>57500</v>
      </c>
      <c r="J622" s="6">
        <v>10350</v>
      </c>
      <c r="K622" s="4">
        <v>96020030</v>
      </c>
      <c r="L622" s="3"/>
      <c r="M622" s="3" t="s">
        <v>516</v>
      </c>
      <c r="N622" s="5">
        <f t="shared" si="9"/>
        <v>18</v>
      </c>
    </row>
    <row r="623" spans="1:14" ht="14.4" x14ac:dyDescent="0.3">
      <c r="A623" s="3" t="s">
        <v>1982</v>
      </c>
      <c r="B623" s="3" t="s">
        <v>829</v>
      </c>
      <c r="C623" s="3" t="s">
        <v>56</v>
      </c>
      <c r="D623" s="3" t="s">
        <v>830</v>
      </c>
      <c r="E623" s="3" t="s">
        <v>831</v>
      </c>
      <c r="F623" s="3" t="s">
        <v>1983</v>
      </c>
      <c r="G623" s="3">
        <v>352</v>
      </c>
      <c r="H623" s="7">
        <v>44834</v>
      </c>
      <c r="I623" s="6">
        <v>48942.400000000001</v>
      </c>
      <c r="J623" s="6">
        <v>8809.6299999999992</v>
      </c>
      <c r="K623" s="4">
        <v>76071995</v>
      </c>
      <c r="L623" s="3"/>
      <c r="M623" s="3" t="s">
        <v>280</v>
      </c>
      <c r="N623" s="5">
        <f t="shared" si="9"/>
        <v>17.999995913563698</v>
      </c>
    </row>
    <row r="624" spans="1:14" ht="14.4" x14ac:dyDescent="0.3">
      <c r="A624" s="3" t="s">
        <v>1984</v>
      </c>
      <c r="B624" s="3" t="s">
        <v>837</v>
      </c>
      <c r="C624" s="3" t="s">
        <v>56</v>
      </c>
      <c r="D624" s="3" t="s">
        <v>838</v>
      </c>
      <c r="E624" s="3" t="s">
        <v>188</v>
      </c>
      <c r="F624" s="3" t="s">
        <v>1985</v>
      </c>
      <c r="G624" s="3" t="s">
        <v>3752</v>
      </c>
      <c r="H624" s="7">
        <v>44861</v>
      </c>
      <c r="I624" s="6">
        <v>1708353.75</v>
      </c>
      <c r="J624" s="6">
        <v>307503.68</v>
      </c>
      <c r="K624" s="4">
        <v>29222933</v>
      </c>
      <c r="L624" s="3" t="s">
        <v>1437</v>
      </c>
      <c r="M624" s="3" t="s">
        <v>1438</v>
      </c>
      <c r="N624" s="5">
        <f t="shared" si="9"/>
        <v>18.000000292679427</v>
      </c>
    </row>
    <row r="625" spans="1:14" ht="14.4" x14ac:dyDescent="0.3">
      <c r="A625" s="3" t="s">
        <v>1986</v>
      </c>
      <c r="B625" s="3" t="s">
        <v>810</v>
      </c>
      <c r="C625" s="3" t="s">
        <v>20</v>
      </c>
      <c r="D625" s="3" t="s">
        <v>843</v>
      </c>
      <c r="E625" s="3" t="s">
        <v>22</v>
      </c>
      <c r="F625" s="3" t="s">
        <v>1987</v>
      </c>
      <c r="G625" s="3" t="s">
        <v>3753</v>
      </c>
      <c r="H625" s="7">
        <v>44853</v>
      </c>
      <c r="I625" s="6">
        <v>155961</v>
      </c>
      <c r="J625" s="6">
        <v>0</v>
      </c>
      <c r="K625" s="4">
        <v>4819</v>
      </c>
      <c r="L625" s="3" t="s">
        <v>845</v>
      </c>
      <c r="M625" s="3" t="s">
        <v>280</v>
      </c>
      <c r="N625" s="5">
        <f t="shared" si="9"/>
        <v>0</v>
      </c>
    </row>
    <row r="626" spans="1:14" ht="14.4" x14ac:dyDescent="0.3">
      <c r="A626" s="3" t="s">
        <v>1988</v>
      </c>
      <c r="B626" s="3" t="s">
        <v>859</v>
      </c>
      <c r="C626" s="3" t="s">
        <v>134</v>
      </c>
      <c r="D626" s="3" t="s">
        <v>860</v>
      </c>
      <c r="E626" s="3" t="s">
        <v>15</v>
      </c>
      <c r="F626" s="3" t="s">
        <v>1989</v>
      </c>
      <c r="G626" s="3" t="s">
        <v>3754</v>
      </c>
      <c r="H626" s="7">
        <v>44851</v>
      </c>
      <c r="I626" s="6">
        <v>265000</v>
      </c>
      <c r="J626" s="6">
        <v>47700</v>
      </c>
      <c r="K626" s="4">
        <v>29420090</v>
      </c>
      <c r="L626" s="3"/>
      <c r="M626" s="3" t="s">
        <v>863</v>
      </c>
      <c r="N626" s="5">
        <f t="shared" si="9"/>
        <v>18</v>
      </c>
    </row>
    <row r="627" spans="1:14" ht="14.4" x14ac:dyDescent="0.3">
      <c r="A627" s="3" t="s">
        <v>1990</v>
      </c>
      <c r="B627" s="3" t="s">
        <v>803</v>
      </c>
      <c r="C627" s="3" t="s">
        <v>535</v>
      </c>
      <c r="D627" s="3" t="s">
        <v>804</v>
      </c>
      <c r="E627" s="3" t="s">
        <v>378</v>
      </c>
      <c r="F627" s="3" t="s">
        <v>1991</v>
      </c>
      <c r="G627" s="3" t="s">
        <v>3755</v>
      </c>
      <c r="H627" s="7">
        <v>44837</v>
      </c>
      <c r="I627" s="6">
        <v>249375</v>
      </c>
      <c r="J627" s="6">
        <v>44887.5</v>
      </c>
      <c r="K627" s="4">
        <v>96020030</v>
      </c>
      <c r="L627" s="3"/>
      <c r="M627" s="3" t="s">
        <v>516</v>
      </c>
      <c r="N627" s="5">
        <f t="shared" si="9"/>
        <v>18</v>
      </c>
    </row>
    <row r="628" spans="1:14" ht="14.4" x14ac:dyDescent="0.3">
      <c r="A628" s="3" t="s">
        <v>1992</v>
      </c>
      <c r="B628" s="3" t="s">
        <v>893</v>
      </c>
      <c r="C628" s="3" t="s">
        <v>894</v>
      </c>
      <c r="D628" s="3" t="s">
        <v>1993</v>
      </c>
      <c r="E628" s="3" t="s">
        <v>896</v>
      </c>
      <c r="F628" s="3" t="s">
        <v>1994</v>
      </c>
      <c r="G628" s="3" t="s">
        <v>3756</v>
      </c>
      <c r="H628" s="7">
        <v>44838</v>
      </c>
      <c r="I628" s="6">
        <v>154075</v>
      </c>
      <c r="J628" s="6">
        <v>27733.5</v>
      </c>
      <c r="K628" s="4">
        <v>29222933</v>
      </c>
      <c r="L628" s="3" t="s">
        <v>1995</v>
      </c>
      <c r="M628" s="3" t="s">
        <v>1438</v>
      </c>
      <c r="N628" s="5">
        <f t="shared" si="9"/>
        <v>18</v>
      </c>
    </row>
    <row r="629" spans="1:14" ht="14.4" x14ac:dyDescent="0.3">
      <c r="A629" s="3" t="s">
        <v>1996</v>
      </c>
      <c r="B629" s="3" t="s">
        <v>803</v>
      </c>
      <c r="C629" s="3" t="s">
        <v>535</v>
      </c>
      <c r="D629" s="3" t="s">
        <v>804</v>
      </c>
      <c r="E629" s="3" t="s">
        <v>378</v>
      </c>
      <c r="F629" s="3" t="s">
        <v>1997</v>
      </c>
      <c r="G629" s="3" t="s">
        <v>3757</v>
      </c>
      <c r="H629" s="7">
        <v>44847</v>
      </c>
      <c r="I629" s="6">
        <v>23000</v>
      </c>
      <c r="J629" s="6">
        <v>4140</v>
      </c>
      <c r="K629" s="4">
        <v>96020030</v>
      </c>
      <c r="L629" s="3"/>
      <c r="M629" s="3" t="s">
        <v>835</v>
      </c>
      <c r="N629" s="5">
        <f t="shared" si="9"/>
        <v>18</v>
      </c>
    </row>
    <row r="630" spans="1:14" ht="14.4" x14ac:dyDescent="0.3">
      <c r="A630" s="3" t="s">
        <v>1998</v>
      </c>
      <c r="B630" s="3" t="s">
        <v>893</v>
      </c>
      <c r="C630" s="3" t="s">
        <v>894</v>
      </c>
      <c r="D630" s="3" t="s">
        <v>1993</v>
      </c>
      <c r="E630" s="3" t="s">
        <v>896</v>
      </c>
      <c r="F630" s="3" t="s">
        <v>1999</v>
      </c>
      <c r="G630" s="3" t="s">
        <v>3758</v>
      </c>
      <c r="H630" s="7">
        <v>44838</v>
      </c>
      <c r="I630" s="6">
        <v>1160600</v>
      </c>
      <c r="J630" s="6">
        <v>208908</v>
      </c>
      <c r="K630" s="4">
        <v>29222933</v>
      </c>
      <c r="L630" s="3" t="s">
        <v>1995</v>
      </c>
      <c r="M630" s="3" t="s">
        <v>1438</v>
      </c>
      <c r="N630" s="5">
        <f t="shared" si="9"/>
        <v>18</v>
      </c>
    </row>
    <row r="631" spans="1:14" ht="14.4" x14ac:dyDescent="0.3">
      <c r="A631" s="3" t="s">
        <v>2000</v>
      </c>
      <c r="B631" s="3" t="s">
        <v>803</v>
      </c>
      <c r="C631" s="3" t="s">
        <v>535</v>
      </c>
      <c r="D631" s="3" t="s">
        <v>804</v>
      </c>
      <c r="E631" s="3" t="s">
        <v>378</v>
      </c>
      <c r="F631" s="3" t="s">
        <v>2001</v>
      </c>
      <c r="G631" s="3" t="s">
        <v>3759</v>
      </c>
      <c r="H631" s="7">
        <v>44855</v>
      </c>
      <c r="I631" s="6">
        <v>135500</v>
      </c>
      <c r="J631" s="6">
        <v>24390</v>
      </c>
      <c r="K631" s="4">
        <v>96020030</v>
      </c>
      <c r="L631" s="3"/>
      <c r="M631" s="3" t="s">
        <v>1438</v>
      </c>
      <c r="N631" s="5">
        <f t="shared" si="9"/>
        <v>18</v>
      </c>
    </row>
    <row r="632" spans="1:14" ht="14.4" x14ac:dyDescent="0.3">
      <c r="A632" s="3" t="s">
        <v>2002</v>
      </c>
      <c r="B632" s="3" t="s">
        <v>1416</v>
      </c>
      <c r="C632" s="3" t="s">
        <v>223</v>
      </c>
      <c r="D632" s="3" t="s">
        <v>1417</v>
      </c>
      <c r="E632" s="3" t="s">
        <v>285</v>
      </c>
      <c r="F632" s="3" t="s">
        <v>2003</v>
      </c>
      <c r="G632" s="3" t="s">
        <v>3760</v>
      </c>
      <c r="H632" s="7">
        <v>44853</v>
      </c>
      <c r="I632" s="6">
        <v>570000</v>
      </c>
      <c r="J632" s="6">
        <v>102600</v>
      </c>
      <c r="K632" s="4">
        <v>29419090</v>
      </c>
      <c r="L632" s="3" t="s">
        <v>1419</v>
      </c>
      <c r="M632" s="3" t="s">
        <v>280</v>
      </c>
      <c r="N632" s="5">
        <f t="shared" si="9"/>
        <v>18</v>
      </c>
    </row>
    <row r="633" spans="1:14" ht="14.4" x14ac:dyDescent="0.3">
      <c r="A633" s="3" t="s">
        <v>2004</v>
      </c>
      <c r="B633" s="3" t="s">
        <v>859</v>
      </c>
      <c r="C633" s="3" t="s">
        <v>134</v>
      </c>
      <c r="D633" s="3" t="s">
        <v>860</v>
      </c>
      <c r="E633" s="3" t="s">
        <v>15</v>
      </c>
      <c r="F633" s="3" t="s">
        <v>2005</v>
      </c>
      <c r="G633" s="3" t="s">
        <v>3761</v>
      </c>
      <c r="H633" s="7">
        <v>44851</v>
      </c>
      <c r="I633" s="6">
        <v>108750</v>
      </c>
      <c r="J633" s="6">
        <v>19575</v>
      </c>
      <c r="K633" s="4">
        <v>29224990</v>
      </c>
      <c r="L633" s="3"/>
      <c r="M633" s="3" t="s">
        <v>2006</v>
      </c>
      <c r="N633" s="5">
        <f t="shared" si="9"/>
        <v>18</v>
      </c>
    </row>
    <row r="634" spans="1:14" ht="14.4" x14ac:dyDescent="0.3">
      <c r="A634" s="3" t="s">
        <v>2007</v>
      </c>
      <c r="B634" s="3" t="s">
        <v>829</v>
      </c>
      <c r="C634" s="3" t="s">
        <v>56</v>
      </c>
      <c r="D634" s="3" t="s">
        <v>830</v>
      </c>
      <c r="E634" s="3" t="s">
        <v>831</v>
      </c>
      <c r="F634" s="3" t="s">
        <v>2008</v>
      </c>
      <c r="G634" s="3">
        <v>375</v>
      </c>
      <c r="H634" s="7">
        <v>44846</v>
      </c>
      <c r="I634" s="6">
        <v>179965.9</v>
      </c>
      <c r="J634" s="6">
        <v>32393.86</v>
      </c>
      <c r="K634" s="4">
        <v>76071995</v>
      </c>
      <c r="L634" s="3"/>
      <c r="M634" s="3" t="s">
        <v>280</v>
      </c>
      <c r="N634" s="5">
        <f t="shared" si="9"/>
        <v>17.999998888678356</v>
      </c>
    </row>
    <row r="635" spans="1:14" ht="14.4" x14ac:dyDescent="0.3">
      <c r="A635" s="3" t="s">
        <v>2009</v>
      </c>
      <c r="B635" s="3" t="s">
        <v>815</v>
      </c>
      <c r="C635" s="3" t="s">
        <v>20</v>
      </c>
      <c r="D635" s="3" t="s">
        <v>816</v>
      </c>
      <c r="E635" s="3" t="s">
        <v>22</v>
      </c>
      <c r="F635" s="3" t="s">
        <v>2010</v>
      </c>
      <c r="G635" s="3" t="s">
        <v>3762</v>
      </c>
      <c r="H635" s="7">
        <v>44837</v>
      </c>
      <c r="I635" s="6">
        <v>53540</v>
      </c>
      <c r="J635" s="6">
        <v>9637.2000000000007</v>
      </c>
      <c r="K635" s="4">
        <v>4819</v>
      </c>
      <c r="L635" s="3"/>
      <c r="M635" s="3" t="s">
        <v>1438</v>
      </c>
      <c r="N635" s="5">
        <f t="shared" si="9"/>
        <v>18.000000000000004</v>
      </c>
    </row>
    <row r="636" spans="1:14" ht="14.4" x14ac:dyDescent="0.3">
      <c r="A636" s="3" t="s">
        <v>2011</v>
      </c>
      <c r="B636" s="3" t="s">
        <v>2012</v>
      </c>
      <c r="C636" s="3" t="s">
        <v>2013</v>
      </c>
      <c r="D636" s="3" t="s">
        <v>2014</v>
      </c>
      <c r="E636" s="3" t="s">
        <v>204</v>
      </c>
      <c r="F636" s="3" t="s">
        <v>2015</v>
      </c>
      <c r="G636" s="3" t="s">
        <v>3763</v>
      </c>
      <c r="H636" s="7">
        <v>44880</v>
      </c>
      <c r="I636" s="6">
        <v>54000</v>
      </c>
      <c r="J636" s="6">
        <v>9720</v>
      </c>
      <c r="K636" s="4">
        <v>39239090</v>
      </c>
      <c r="L636" s="3" t="s">
        <v>2016</v>
      </c>
      <c r="M636" s="3" t="s">
        <v>2017</v>
      </c>
      <c r="N636" s="5">
        <f t="shared" si="9"/>
        <v>18</v>
      </c>
    </row>
    <row r="637" spans="1:14" ht="14.4" x14ac:dyDescent="0.3">
      <c r="A637" s="3" t="s">
        <v>2018</v>
      </c>
      <c r="B637" s="3" t="s">
        <v>2012</v>
      </c>
      <c r="C637" s="3" t="s">
        <v>2013</v>
      </c>
      <c r="D637" s="3" t="s">
        <v>2014</v>
      </c>
      <c r="E637" s="3" t="s">
        <v>204</v>
      </c>
      <c r="F637" s="3" t="s">
        <v>2019</v>
      </c>
      <c r="G637" s="3" t="s">
        <v>3764</v>
      </c>
      <c r="H637" s="7">
        <v>44880</v>
      </c>
      <c r="I637" s="6">
        <v>54000</v>
      </c>
      <c r="J637" s="6">
        <v>9720</v>
      </c>
      <c r="K637" s="4">
        <v>39239090</v>
      </c>
      <c r="L637" s="3" t="s">
        <v>2016</v>
      </c>
      <c r="M637" s="3" t="s">
        <v>2017</v>
      </c>
      <c r="N637" s="5">
        <f t="shared" si="9"/>
        <v>18</v>
      </c>
    </row>
    <row r="638" spans="1:14" ht="14.4" x14ac:dyDescent="0.3">
      <c r="A638" s="3" t="s">
        <v>2020</v>
      </c>
      <c r="B638" s="3" t="s">
        <v>873</v>
      </c>
      <c r="C638" s="3" t="s">
        <v>20</v>
      </c>
      <c r="D638" s="3" t="s">
        <v>874</v>
      </c>
      <c r="E638" s="3" t="s">
        <v>22</v>
      </c>
      <c r="F638" s="3" t="s">
        <v>2021</v>
      </c>
      <c r="G638" s="3" t="s">
        <v>3765</v>
      </c>
      <c r="H638" s="7">
        <v>44879</v>
      </c>
      <c r="I638" s="6">
        <v>64939</v>
      </c>
      <c r="J638" s="6">
        <v>3255.27</v>
      </c>
      <c r="K638" s="4">
        <v>29224990</v>
      </c>
      <c r="L638" s="3" t="s">
        <v>876</v>
      </c>
      <c r="M638" s="3" t="s">
        <v>2022</v>
      </c>
      <c r="N638" s="5">
        <f t="shared" si="9"/>
        <v>5.01281202359137</v>
      </c>
    </row>
    <row r="639" spans="1:14" ht="14.4" x14ac:dyDescent="0.3">
      <c r="A639" s="3" t="s">
        <v>2023</v>
      </c>
      <c r="B639" s="3" t="s">
        <v>815</v>
      </c>
      <c r="C639" s="3" t="s">
        <v>20</v>
      </c>
      <c r="D639" s="3" t="s">
        <v>816</v>
      </c>
      <c r="E639" s="3" t="s">
        <v>22</v>
      </c>
      <c r="F639" s="3" t="s">
        <v>2024</v>
      </c>
      <c r="G639" s="3" t="s">
        <v>3766</v>
      </c>
      <c r="H639" s="7">
        <v>44870</v>
      </c>
      <c r="I639" s="6">
        <v>87983</v>
      </c>
      <c r="J639" s="6">
        <v>15837</v>
      </c>
      <c r="K639" s="4">
        <v>4819</v>
      </c>
      <c r="L639" s="3"/>
      <c r="M639" s="3" t="s">
        <v>32</v>
      </c>
      <c r="N639" s="5">
        <f t="shared" si="9"/>
        <v>18.000068194992213</v>
      </c>
    </row>
    <row r="640" spans="1:14" ht="14.4" x14ac:dyDescent="0.3">
      <c r="A640" s="3" t="s">
        <v>2025</v>
      </c>
      <c r="B640" s="3" t="s">
        <v>819</v>
      </c>
      <c r="C640" s="3" t="s">
        <v>20</v>
      </c>
      <c r="D640" s="3" t="s">
        <v>820</v>
      </c>
      <c r="E640" s="3" t="s">
        <v>22</v>
      </c>
      <c r="F640" s="3" t="s">
        <v>2026</v>
      </c>
      <c r="G640" s="3" t="s">
        <v>3767</v>
      </c>
      <c r="H640" s="7">
        <v>44890</v>
      </c>
      <c r="I640" s="6">
        <v>230730.5</v>
      </c>
      <c r="J640" s="6">
        <v>41531.49</v>
      </c>
      <c r="K640" s="4">
        <v>29420090</v>
      </c>
      <c r="L640" s="3"/>
      <c r="M640" s="3" t="s">
        <v>36</v>
      </c>
      <c r="N640" s="5">
        <f t="shared" si="9"/>
        <v>18</v>
      </c>
    </row>
    <row r="641" spans="1:14" ht="14.4" x14ac:dyDescent="0.3">
      <c r="A641" s="3" t="s">
        <v>2027</v>
      </c>
      <c r="B641" s="3" t="s">
        <v>2028</v>
      </c>
      <c r="C641" s="3" t="s">
        <v>2029</v>
      </c>
      <c r="D641" s="3" t="s">
        <v>2030</v>
      </c>
      <c r="E641" s="3" t="s">
        <v>80</v>
      </c>
      <c r="F641" s="3" t="s">
        <v>2031</v>
      </c>
      <c r="G641" s="3" t="s">
        <v>3768</v>
      </c>
      <c r="H641" s="7">
        <v>44886</v>
      </c>
      <c r="I641" s="6">
        <v>76500</v>
      </c>
      <c r="J641" s="6">
        <v>13770</v>
      </c>
      <c r="K641" s="4">
        <v>29332990</v>
      </c>
      <c r="L641" s="3" t="s">
        <v>2032</v>
      </c>
      <c r="M641" s="3" t="s">
        <v>675</v>
      </c>
      <c r="N641" s="5">
        <f t="shared" si="9"/>
        <v>18</v>
      </c>
    </row>
    <row r="642" spans="1:14" ht="14.4" x14ac:dyDescent="0.3">
      <c r="A642" s="3" t="s">
        <v>2033</v>
      </c>
      <c r="B642" s="3" t="s">
        <v>810</v>
      </c>
      <c r="C642" s="3" t="s">
        <v>20</v>
      </c>
      <c r="D642" s="3" t="s">
        <v>843</v>
      </c>
      <c r="E642" s="3" t="s">
        <v>22</v>
      </c>
      <c r="F642" s="3" t="s">
        <v>2034</v>
      </c>
      <c r="G642" s="3" t="s">
        <v>3769</v>
      </c>
      <c r="H642" s="7">
        <v>44886</v>
      </c>
      <c r="I642" s="6">
        <v>152173</v>
      </c>
      <c r="J642" s="6">
        <v>0</v>
      </c>
      <c r="K642" s="4">
        <v>4819</v>
      </c>
      <c r="L642" s="3" t="s">
        <v>845</v>
      </c>
      <c r="M642" s="3" t="s">
        <v>675</v>
      </c>
      <c r="N642" s="5">
        <f t="shared" si="9"/>
        <v>0</v>
      </c>
    </row>
    <row r="643" spans="1:14" ht="14.4" x14ac:dyDescent="0.3">
      <c r="A643" s="3" t="s">
        <v>2035</v>
      </c>
      <c r="B643" s="3" t="s">
        <v>819</v>
      </c>
      <c r="C643" s="3" t="s">
        <v>20</v>
      </c>
      <c r="D643" s="3" t="s">
        <v>820</v>
      </c>
      <c r="E643" s="3" t="s">
        <v>22</v>
      </c>
      <c r="F643" s="3" t="s">
        <v>2036</v>
      </c>
      <c r="G643" s="3" t="s">
        <v>3770</v>
      </c>
      <c r="H643" s="7">
        <v>44872</v>
      </c>
      <c r="I643" s="6">
        <v>230730.5</v>
      </c>
      <c r="J643" s="6">
        <v>41531.49</v>
      </c>
      <c r="K643" s="4">
        <v>29420090</v>
      </c>
      <c r="L643" s="3"/>
      <c r="M643" s="3" t="s">
        <v>2037</v>
      </c>
      <c r="N643" s="5">
        <f t="shared" ref="N643:N706" si="10">J643*100/I643</f>
        <v>18</v>
      </c>
    </row>
    <row r="644" spans="1:14" ht="14.4" x14ac:dyDescent="0.3">
      <c r="A644" s="3" t="s">
        <v>2038</v>
      </c>
      <c r="B644" s="3" t="s">
        <v>905</v>
      </c>
      <c r="C644" s="3" t="s">
        <v>672</v>
      </c>
      <c r="D644" s="3" t="s">
        <v>906</v>
      </c>
      <c r="E644" s="3" t="s">
        <v>80</v>
      </c>
      <c r="F644" s="3" t="s">
        <v>2039</v>
      </c>
      <c r="G644" s="3">
        <v>3226</v>
      </c>
      <c r="H644" s="7">
        <v>44889</v>
      </c>
      <c r="I644" s="6">
        <v>64101.8</v>
      </c>
      <c r="J644" s="6"/>
      <c r="K644" s="4">
        <v>39204900</v>
      </c>
      <c r="L644" s="3" t="s">
        <v>2040</v>
      </c>
      <c r="M644" s="3" t="s">
        <v>2041</v>
      </c>
      <c r="N644" s="5">
        <f t="shared" si="10"/>
        <v>0</v>
      </c>
    </row>
    <row r="645" spans="1:14" ht="14.4" x14ac:dyDescent="0.3">
      <c r="A645" s="3" t="s">
        <v>2042</v>
      </c>
      <c r="B645" s="3" t="s">
        <v>905</v>
      </c>
      <c r="C645" s="3" t="s">
        <v>672</v>
      </c>
      <c r="D645" s="3" t="s">
        <v>906</v>
      </c>
      <c r="E645" s="3" t="s">
        <v>80</v>
      </c>
      <c r="F645" s="3" t="s">
        <v>2043</v>
      </c>
      <c r="G645" s="3">
        <v>3176</v>
      </c>
      <c r="H645" s="7">
        <v>44886</v>
      </c>
      <c r="I645" s="6">
        <v>37953.919999999998</v>
      </c>
      <c r="J645" s="6"/>
      <c r="K645" s="4">
        <v>39204900</v>
      </c>
      <c r="L645" s="3" t="s">
        <v>2044</v>
      </c>
      <c r="M645" s="3" t="s">
        <v>1488</v>
      </c>
      <c r="N645" s="5">
        <f t="shared" si="10"/>
        <v>0</v>
      </c>
    </row>
    <row r="646" spans="1:14" ht="14.4" x14ac:dyDescent="0.3">
      <c r="A646" s="3" t="s">
        <v>2045</v>
      </c>
      <c r="B646" s="3" t="s">
        <v>2046</v>
      </c>
      <c r="C646" s="3" t="s">
        <v>20</v>
      </c>
      <c r="D646" s="3" t="s">
        <v>292</v>
      </c>
      <c r="E646" s="3" t="s">
        <v>22</v>
      </c>
      <c r="F646" s="3" t="s">
        <v>2047</v>
      </c>
      <c r="G646" s="3">
        <v>181</v>
      </c>
      <c r="H646" s="7">
        <v>44770</v>
      </c>
      <c r="I646" s="6">
        <v>240442</v>
      </c>
      <c r="J646" s="6">
        <v>43279.56</v>
      </c>
      <c r="K646" s="4">
        <v>29379090</v>
      </c>
      <c r="L646" s="3" t="s">
        <v>2048</v>
      </c>
      <c r="M646" s="3" t="s">
        <v>1776</v>
      </c>
      <c r="N646" s="5">
        <f t="shared" si="10"/>
        <v>18</v>
      </c>
    </row>
    <row r="647" spans="1:14" ht="14.4" x14ac:dyDescent="0.3">
      <c r="A647" s="3" t="s">
        <v>2049</v>
      </c>
      <c r="B647" s="3" t="s">
        <v>2050</v>
      </c>
      <c r="C647" s="3" t="s">
        <v>134</v>
      </c>
      <c r="D647" s="3" t="s">
        <v>292</v>
      </c>
      <c r="E647" s="3" t="s">
        <v>22</v>
      </c>
      <c r="F647" s="3" t="s">
        <v>2051</v>
      </c>
      <c r="G647" s="3" t="s">
        <v>3771</v>
      </c>
      <c r="H647" s="7">
        <v>44768</v>
      </c>
      <c r="I647" s="6">
        <v>44200</v>
      </c>
      <c r="J647" s="6">
        <v>7956</v>
      </c>
      <c r="K647" s="4">
        <v>29339900</v>
      </c>
      <c r="L647" s="3" t="s">
        <v>2052</v>
      </c>
      <c r="M647" s="3" t="s">
        <v>1776</v>
      </c>
      <c r="N647" s="5">
        <f t="shared" si="10"/>
        <v>18</v>
      </c>
    </row>
    <row r="648" spans="1:14" ht="14.4" x14ac:dyDescent="0.3">
      <c r="A648" s="3" t="s">
        <v>2053</v>
      </c>
      <c r="B648" s="3" t="s">
        <v>2054</v>
      </c>
      <c r="C648" s="3" t="s">
        <v>20</v>
      </c>
      <c r="D648" s="3" t="s">
        <v>2055</v>
      </c>
      <c r="E648" s="3" t="s">
        <v>22</v>
      </c>
      <c r="F648" s="3" t="s">
        <v>2056</v>
      </c>
      <c r="G648" s="3" t="s">
        <v>3772</v>
      </c>
      <c r="H648" s="7">
        <v>44755</v>
      </c>
      <c r="I648" s="6">
        <v>223723.5</v>
      </c>
      <c r="J648" s="6">
        <v>40270.230000000003</v>
      </c>
      <c r="K648" s="4">
        <v>29420090</v>
      </c>
      <c r="L648" s="3" t="s">
        <v>199</v>
      </c>
      <c r="M648" s="3" t="s">
        <v>98</v>
      </c>
      <c r="N648" s="5">
        <f t="shared" si="10"/>
        <v>18.000000000000004</v>
      </c>
    </row>
    <row r="649" spans="1:14" ht="14.4" x14ac:dyDescent="0.3">
      <c r="A649" s="3" t="s">
        <v>2057</v>
      </c>
      <c r="B649" s="3" t="s">
        <v>315</v>
      </c>
      <c r="C649" s="3" t="s">
        <v>134</v>
      </c>
      <c r="D649" s="3" t="s">
        <v>292</v>
      </c>
      <c r="E649" s="3" t="s">
        <v>298</v>
      </c>
      <c r="F649" s="3" t="s">
        <v>2058</v>
      </c>
      <c r="G649" s="3" t="s">
        <v>3773</v>
      </c>
      <c r="H649" s="7">
        <v>44751</v>
      </c>
      <c r="I649" s="6">
        <v>180000</v>
      </c>
      <c r="J649" s="6">
        <v>32400</v>
      </c>
      <c r="K649" s="4">
        <v>29332990</v>
      </c>
      <c r="L649" s="3" t="s">
        <v>2059</v>
      </c>
      <c r="M649" s="3" t="s">
        <v>2060</v>
      </c>
      <c r="N649" s="5">
        <f t="shared" si="10"/>
        <v>18</v>
      </c>
    </row>
    <row r="650" spans="1:14" ht="14.4" x14ac:dyDescent="0.3">
      <c r="A650" s="3" t="s">
        <v>2061</v>
      </c>
      <c r="B650" s="3" t="s">
        <v>1161</v>
      </c>
      <c r="C650" s="3" t="s">
        <v>20</v>
      </c>
      <c r="D650" s="3" t="s">
        <v>1162</v>
      </c>
      <c r="E650" s="3" t="s">
        <v>22</v>
      </c>
      <c r="F650" s="3" t="s">
        <v>2062</v>
      </c>
      <c r="G650" s="3" t="s">
        <v>3774</v>
      </c>
      <c r="H650" s="7">
        <v>44757</v>
      </c>
      <c r="I650" s="6">
        <v>31000</v>
      </c>
      <c r="J650" s="6">
        <v>5580</v>
      </c>
      <c r="K650" s="4">
        <v>29420090</v>
      </c>
      <c r="L650" s="3" t="s">
        <v>365</v>
      </c>
      <c r="M650" s="3" t="s">
        <v>98</v>
      </c>
      <c r="N650" s="5">
        <f t="shared" si="10"/>
        <v>18</v>
      </c>
    </row>
    <row r="651" spans="1:14" ht="14.4" x14ac:dyDescent="0.3">
      <c r="A651" s="3" t="s">
        <v>2063</v>
      </c>
      <c r="B651" s="3" t="s">
        <v>315</v>
      </c>
      <c r="C651" s="3" t="s">
        <v>134</v>
      </c>
      <c r="D651" s="3" t="s">
        <v>292</v>
      </c>
      <c r="E651" s="3" t="s">
        <v>298</v>
      </c>
      <c r="F651" s="3" t="s">
        <v>2064</v>
      </c>
      <c r="G651" s="3" t="s">
        <v>3775</v>
      </c>
      <c r="H651" s="7">
        <v>44755</v>
      </c>
      <c r="I651" s="6">
        <v>104250</v>
      </c>
      <c r="J651" s="6">
        <v>18765</v>
      </c>
      <c r="K651" s="4">
        <v>29420012</v>
      </c>
      <c r="L651" s="3" t="s">
        <v>2065</v>
      </c>
      <c r="M651" s="3" t="s">
        <v>36</v>
      </c>
      <c r="N651" s="5">
        <f t="shared" si="10"/>
        <v>18</v>
      </c>
    </row>
    <row r="652" spans="1:14" ht="14.4" x14ac:dyDescent="0.3">
      <c r="A652" s="3" t="s">
        <v>2066</v>
      </c>
      <c r="B652" s="3" t="s">
        <v>309</v>
      </c>
      <c r="C652" s="3" t="s">
        <v>310</v>
      </c>
      <c r="D652" s="3" t="s">
        <v>311</v>
      </c>
      <c r="E652" s="3" t="s">
        <v>80</v>
      </c>
      <c r="F652" s="3" t="s">
        <v>2067</v>
      </c>
      <c r="G652" s="3" t="s">
        <v>3776</v>
      </c>
      <c r="H652" s="7">
        <v>44754</v>
      </c>
      <c r="I652" s="6">
        <v>210000</v>
      </c>
      <c r="J652" s="6">
        <v>37800</v>
      </c>
      <c r="K652" s="4">
        <v>29335990</v>
      </c>
      <c r="L652" s="3" t="s">
        <v>313</v>
      </c>
      <c r="M652" s="3" t="s">
        <v>98</v>
      </c>
      <c r="N652" s="5">
        <f t="shared" si="10"/>
        <v>18</v>
      </c>
    </row>
    <row r="653" spans="1:14" ht="14.4" x14ac:dyDescent="0.3">
      <c r="A653" s="3" t="s">
        <v>2068</v>
      </c>
      <c r="B653" s="3" t="s">
        <v>309</v>
      </c>
      <c r="C653" s="3" t="s">
        <v>310</v>
      </c>
      <c r="D653" s="3" t="s">
        <v>311</v>
      </c>
      <c r="E653" s="3" t="s">
        <v>80</v>
      </c>
      <c r="F653" s="3" t="s">
        <v>2069</v>
      </c>
      <c r="G653" s="3" t="s">
        <v>3777</v>
      </c>
      <c r="H653" s="7">
        <v>44750</v>
      </c>
      <c r="I653" s="6">
        <v>52500</v>
      </c>
      <c r="J653" s="6">
        <v>9450</v>
      </c>
      <c r="K653" s="4">
        <v>29335990</v>
      </c>
      <c r="L653" s="3" t="s">
        <v>313</v>
      </c>
      <c r="M653" s="3" t="s">
        <v>2070</v>
      </c>
      <c r="N653" s="5">
        <f t="shared" si="10"/>
        <v>18</v>
      </c>
    </row>
    <row r="654" spans="1:14" ht="14.4" x14ac:dyDescent="0.3">
      <c r="A654" s="3" t="s">
        <v>2071</v>
      </c>
      <c r="B654" s="3" t="s">
        <v>659</v>
      </c>
      <c r="C654" s="3" t="s">
        <v>660</v>
      </c>
      <c r="D654" s="3" t="s">
        <v>372</v>
      </c>
      <c r="E654" s="3" t="s">
        <v>80</v>
      </c>
      <c r="F654" s="3" t="s">
        <v>2072</v>
      </c>
      <c r="G654" s="3" t="s">
        <v>3778</v>
      </c>
      <c r="H654" s="7">
        <v>44769</v>
      </c>
      <c r="I654" s="6">
        <v>828000</v>
      </c>
      <c r="J654" s="6">
        <v>149040</v>
      </c>
      <c r="K654" s="4">
        <v>29242190</v>
      </c>
      <c r="L654" s="3" t="s">
        <v>2073</v>
      </c>
      <c r="M654" s="3" t="s">
        <v>98</v>
      </c>
      <c r="N654" s="5">
        <f t="shared" si="10"/>
        <v>18</v>
      </c>
    </row>
    <row r="655" spans="1:14" ht="14.4" x14ac:dyDescent="0.3">
      <c r="A655" s="3" t="s">
        <v>2074</v>
      </c>
      <c r="B655" s="3" t="s">
        <v>1220</v>
      </c>
      <c r="C655" s="3" t="s">
        <v>20</v>
      </c>
      <c r="D655" s="3" t="s">
        <v>1221</v>
      </c>
      <c r="E655" s="3" t="s">
        <v>2075</v>
      </c>
      <c r="F655" s="3" t="s">
        <v>2076</v>
      </c>
      <c r="G655" s="3" t="s">
        <v>3779</v>
      </c>
      <c r="H655" s="7">
        <v>44765</v>
      </c>
      <c r="I655" s="6">
        <v>87500</v>
      </c>
      <c r="J655" s="6">
        <v>15750</v>
      </c>
      <c r="K655" s="4">
        <v>29157090</v>
      </c>
      <c r="L655" s="3" t="s">
        <v>1224</v>
      </c>
      <c r="M655" s="3" t="s">
        <v>98</v>
      </c>
      <c r="N655" s="5">
        <f t="shared" si="10"/>
        <v>18</v>
      </c>
    </row>
    <row r="656" spans="1:14" ht="14.4" x14ac:dyDescent="0.3">
      <c r="A656" s="3" t="s">
        <v>2077</v>
      </c>
      <c r="B656" s="3" t="s">
        <v>2078</v>
      </c>
      <c r="C656" s="3" t="s">
        <v>20</v>
      </c>
      <c r="D656" s="3" t="s">
        <v>2079</v>
      </c>
      <c r="E656" s="3" t="s">
        <v>22</v>
      </c>
      <c r="F656" s="3" t="s">
        <v>2080</v>
      </c>
      <c r="G656" s="3" t="s">
        <v>3780</v>
      </c>
      <c r="H656" s="7">
        <v>44758</v>
      </c>
      <c r="I656" s="6">
        <v>105236</v>
      </c>
      <c r="J656" s="6">
        <v>18942.48</v>
      </c>
      <c r="K656" s="4">
        <v>29372900</v>
      </c>
      <c r="L656" s="3" t="s">
        <v>199</v>
      </c>
      <c r="M656" s="3" t="s">
        <v>2081</v>
      </c>
      <c r="N656" s="5">
        <f t="shared" si="10"/>
        <v>18</v>
      </c>
    </row>
    <row r="657" spans="1:14" ht="14.4" x14ac:dyDescent="0.3">
      <c r="A657" s="3" t="s">
        <v>2082</v>
      </c>
      <c r="B657" s="3" t="s">
        <v>2083</v>
      </c>
      <c r="C657" s="3" t="s">
        <v>20</v>
      </c>
      <c r="D657" s="3" t="s">
        <v>2084</v>
      </c>
      <c r="E657" s="3" t="s">
        <v>22</v>
      </c>
      <c r="F657" s="3" t="s">
        <v>2085</v>
      </c>
      <c r="G657" s="3" t="s">
        <v>3781</v>
      </c>
      <c r="H657" s="7">
        <v>44758</v>
      </c>
      <c r="I657" s="6">
        <v>42710.34</v>
      </c>
      <c r="J657" s="6">
        <v>7687.86</v>
      </c>
      <c r="K657" s="4">
        <v>29224990</v>
      </c>
      <c r="L657" s="3" t="s">
        <v>365</v>
      </c>
      <c r="M657" s="3" t="s">
        <v>98</v>
      </c>
      <c r="N657" s="5">
        <f t="shared" si="10"/>
        <v>17.999997190375915</v>
      </c>
    </row>
    <row r="658" spans="1:14" ht="14.4" x14ac:dyDescent="0.3">
      <c r="A658" s="3" t="s">
        <v>2086</v>
      </c>
      <c r="B658" s="3" t="s">
        <v>2087</v>
      </c>
      <c r="C658" s="3" t="s">
        <v>134</v>
      </c>
      <c r="D658" s="3" t="s">
        <v>292</v>
      </c>
      <c r="E658" s="3" t="s">
        <v>22</v>
      </c>
      <c r="F658" s="3" t="s">
        <v>2088</v>
      </c>
      <c r="G658" s="3" t="s">
        <v>3782</v>
      </c>
      <c r="H658" s="7">
        <v>44758</v>
      </c>
      <c r="I658" s="6">
        <v>15500</v>
      </c>
      <c r="J658" s="6">
        <v>2790</v>
      </c>
      <c r="K658" s="4">
        <v>29362700</v>
      </c>
      <c r="L658" s="3" t="s">
        <v>2089</v>
      </c>
      <c r="M658" s="3" t="s">
        <v>549</v>
      </c>
      <c r="N658" s="5">
        <f t="shared" si="10"/>
        <v>18</v>
      </c>
    </row>
    <row r="659" spans="1:14" ht="14.4" x14ac:dyDescent="0.3">
      <c r="A659" s="3" t="s">
        <v>2090</v>
      </c>
      <c r="B659" s="3" t="s">
        <v>309</v>
      </c>
      <c r="C659" s="3" t="s">
        <v>310</v>
      </c>
      <c r="D659" s="3" t="s">
        <v>311</v>
      </c>
      <c r="E659" s="3" t="s">
        <v>80</v>
      </c>
      <c r="F659" s="3" t="s">
        <v>2091</v>
      </c>
      <c r="G659" s="3" t="s">
        <v>3783</v>
      </c>
      <c r="H659" s="7">
        <v>44758</v>
      </c>
      <c r="I659" s="6">
        <v>105000</v>
      </c>
      <c r="J659" s="6">
        <v>18900</v>
      </c>
      <c r="K659" s="4">
        <v>29335990</v>
      </c>
      <c r="L659" s="3" t="s">
        <v>313</v>
      </c>
      <c r="M659" s="3" t="s">
        <v>98</v>
      </c>
      <c r="N659" s="5">
        <f t="shared" si="10"/>
        <v>18</v>
      </c>
    </row>
    <row r="660" spans="1:14" ht="14.4" x14ac:dyDescent="0.3">
      <c r="A660" s="3" t="s">
        <v>2092</v>
      </c>
      <c r="B660" s="3" t="s">
        <v>315</v>
      </c>
      <c r="C660" s="3" t="s">
        <v>134</v>
      </c>
      <c r="D660" s="3" t="s">
        <v>292</v>
      </c>
      <c r="E660" s="3" t="s">
        <v>298</v>
      </c>
      <c r="F660" s="3" t="s">
        <v>2093</v>
      </c>
      <c r="G660" s="3" t="s">
        <v>3784</v>
      </c>
      <c r="H660" s="7">
        <v>44751</v>
      </c>
      <c r="I660" s="6">
        <v>47000</v>
      </c>
      <c r="J660" s="6">
        <v>8460</v>
      </c>
      <c r="K660" s="4">
        <v>29332990</v>
      </c>
      <c r="L660" s="3" t="s">
        <v>2094</v>
      </c>
      <c r="M660" s="3" t="s">
        <v>36</v>
      </c>
      <c r="N660" s="5">
        <f t="shared" si="10"/>
        <v>18</v>
      </c>
    </row>
    <row r="661" spans="1:14" ht="14.4" x14ac:dyDescent="0.3">
      <c r="A661" s="3" t="s">
        <v>2095</v>
      </c>
      <c r="B661" s="3" t="s">
        <v>1161</v>
      </c>
      <c r="C661" s="3" t="s">
        <v>20</v>
      </c>
      <c r="D661" s="3" t="s">
        <v>1162</v>
      </c>
      <c r="E661" s="3" t="s">
        <v>22</v>
      </c>
      <c r="F661" s="3" t="s">
        <v>2096</v>
      </c>
      <c r="G661" s="3" t="s">
        <v>3785</v>
      </c>
      <c r="H661" s="7">
        <v>44750</v>
      </c>
      <c r="I661" s="6">
        <v>31500</v>
      </c>
      <c r="J661" s="6">
        <v>5670</v>
      </c>
      <c r="K661" s="4">
        <v>29332990</v>
      </c>
      <c r="L661" s="3" t="s">
        <v>365</v>
      </c>
      <c r="M661" s="3" t="s">
        <v>98</v>
      </c>
      <c r="N661" s="5">
        <f t="shared" si="10"/>
        <v>18</v>
      </c>
    </row>
    <row r="662" spans="1:14" ht="14.4" x14ac:dyDescent="0.3">
      <c r="A662" s="3" t="s">
        <v>2097</v>
      </c>
      <c r="B662" s="3" t="s">
        <v>309</v>
      </c>
      <c r="C662" s="3" t="s">
        <v>310</v>
      </c>
      <c r="D662" s="3" t="s">
        <v>311</v>
      </c>
      <c r="E662" s="3" t="s">
        <v>80</v>
      </c>
      <c r="F662" s="3" t="s">
        <v>2098</v>
      </c>
      <c r="G662" s="3" t="s">
        <v>3786</v>
      </c>
      <c r="H662" s="7">
        <v>44749</v>
      </c>
      <c r="I662" s="6">
        <v>157500</v>
      </c>
      <c r="J662" s="6">
        <v>28350</v>
      </c>
      <c r="K662" s="4">
        <v>29335990</v>
      </c>
      <c r="L662" s="3" t="s">
        <v>313</v>
      </c>
      <c r="M662" s="3" t="s">
        <v>98</v>
      </c>
      <c r="N662" s="5">
        <f t="shared" si="10"/>
        <v>18</v>
      </c>
    </row>
    <row r="663" spans="1:14" ht="14.4" x14ac:dyDescent="0.3">
      <c r="A663" s="3" t="s">
        <v>2099</v>
      </c>
      <c r="B663" s="3" t="s">
        <v>2100</v>
      </c>
      <c r="C663" s="3" t="s">
        <v>20</v>
      </c>
      <c r="D663" s="3" t="s">
        <v>2101</v>
      </c>
      <c r="E663" s="3" t="s">
        <v>22</v>
      </c>
      <c r="F663" s="3" t="s">
        <v>2102</v>
      </c>
      <c r="G663" s="3">
        <v>207</v>
      </c>
      <c r="H663" s="7">
        <v>44749</v>
      </c>
      <c r="I663" s="6">
        <v>129340.3</v>
      </c>
      <c r="J663" s="6">
        <v>23281.25</v>
      </c>
      <c r="K663" s="4">
        <v>29420090</v>
      </c>
      <c r="L663" s="3"/>
      <c r="M663" s="3" t="s">
        <v>549</v>
      </c>
      <c r="N663" s="5">
        <f t="shared" si="10"/>
        <v>17.999996907383082</v>
      </c>
    </row>
    <row r="664" spans="1:14" ht="14.4" x14ac:dyDescent="0.3">
      <c r="A664" s="3" t="s">
        <v>2103</v>
      </c>
      <c r="B664" s="3" t="s">
        <v>315</v>
      </c>
      <c r="C664" s="3" t="s">
        <v>134</v>
      </c>
      <c r="D664" s="3" t="s">
        <v>292</v>
      </c>
      <c r="E664" s="3" t="s">
        <v>298</v>
      </c>
      <c r="F664" s="3" t="s">
        <v>2104</v>
      </c>
      <c r="G664" s="3" t="s">
        <v>3787</v>
      </c>
      <c r="H664" s="7">
        <v>44746</v>
      </c>
      <c r="I664" s="6">
        <v>221250</v>
      </c>
      <c r="J664" s="6">
        <v>39825</v>
      </c>
      <c r="K664" s="4">
        <v>29335990</v>
      </c>
      <c r="L664" s="3" t="s">
        <v>338</v>
      </c>
      <c r="M664" s="3" t="s">
        <v>2105</v>
      </c>
      <c r="N664" s="5">
        <f t="shared" si="10"/>
        <v>18</v>
      </c>
    </row>
    <row r="665" spans="1:14" ht="14.4" x14ac:dyDescent="0.3">
      <c r="A665" s="3" t="s">
        <v>2106</v>
      </c>
      <c r="B665" s="3" t="s">
        <v>315</v>
      </c>
      <c r="C665" s="3" t="s">
        <v>134</v>
      </c>
      <c r="D665" s="3" t="s">
        <v>292</v>
      </c>
      <c r="E665" s="3" t="s">
        <v>298</v>
      </c>
      <c r="F665" s="3" t="s">
        <v>2107</v>
      </c>
      <c r="G665" s="3" t="s">
        <v>3788</v>
      </c>
      <c r="H665" s="7">
        <v>44769</v>
      </c>
      <c r="I665" s="6">
        <v>70000</v>
      </c>
      <c r="J665" s="6">
        <v>12600</v>
      </c>
      <c r="K665" s="4">
        <v>29420027</v>
      </c>
      <c r="L665" s="3" t="s">
        <v>2108</v>
      </c>
      <c r="M665" s="3" t="s">
        <v>2109</v>
      </c>
      <c r="N665" s="5">
        <f t="shared" si="10"/>
        <v>18</v>
      </c>
    </row>
    <row r="666" spans="1:14" ht="14.4" x14ac:dyDescent="0.3">
      <c r="A666" s="3" t="s">
        <v>2110</v>
      </c>
      <c r="B666" s="3" t="s">
        <v>686</v>
      </c>
      <c r="C666" s="3" t="s">
        <v>134</v>
      </c>
      <c r="D666" s="3" t="s">
        <v>687</v>
      </c>
      <c r="E666" s="3" t="s">
        <v>80</v>
      </c>
      <c r="F666" s="3" t="s">
        <v>2111</v>
      </c>
      <c r="G666" s="3">
        <v>270</v>
      </c>
      <c r="H666" s="7">
        <v>44800</v>
      </c>
      <c r="I666" s="6">
        <v>360360</v>
      </c>
      <c r="J666" s="6">
        <v>64865</v>
      </c>
      <c r="K666" s="4">
        <v>29420090</v>
      </c>
      <c r="L666" s="3"/>
      <c r="M666" s="3"/>
      <c r="N666" s="5">
        <f t="shared" si="10"/>
        <v>18.000055500055499</v>
      </c>
    </row>
    <row r="667" spans="1:14" ht="14.4" x14ac:dyDescent="0.3">
      <c r="A667" s="3" t="s">
        <v>2112</v>
      </c>
      <c r="B667" s="3" t="s">
        <v>303</v>
      </c>
      <c r="C667" s="3" t="s">
        <v>304</v>
      </c>
      <c r="D667" s="3" t="s">
        <v>305</v>
      </c>
      <c r="E667" s="3" t="s">
        <v>15</v>
      </c>
      <c r="F667" s="3" t="s">
        <v>2113</v>
      </c>
      <c r="G667" s="3" t="s">
        <v>3789</v>
      </c>
      <c r="H667" s="7">
        <v>44799</v>
      </c>
      <c r="I667" s="6">
        <v>877500</v>
      </c>
      <c r="J667" s="6">
        <v>157950</v>
      </c>
      <c r="K667" s="4">
        <v>29419090</v>
      </c>
      <c r="L667" s="3" t="s">
        <v>2114</v>
      </c>
      <c r="M667" s="3" t="s">
        <v>516</v>
      </c>
      <c r="N667" s="5">
        <f t="shared" si="10"/>
        <v>18</v>
      </c>
    </row>
    <row r="668" spans="1:14" ht="14.4" x14ac:dyDescent="0.3">
      <c r="A668" s="3" t="s">
        <v>2115</v>
      </c>
      <c r="B668" s="3" t="s">
        <v>315</v>
      </c>
      <c r="C668" s="3" t="s">
        <v>134</v>
      </c>
      <c r="D668" s="3" t="s">
        <v>292</v>
      </c>
      <c r="E668" s="3" t="s">
        <v>298</v>
      </c>
      <c r="F668" s="3" t="s">
        <v>2116</v>
      </c>
      <c r="G668" s="3" t="s">
        <v>3790</v>
      </c>
      <c r="H668" s="7">
        <v>44779</v>
      </c>
      <c r="I668" s="6">
        <v>122000</v>
      </c>
      <c r="J668" s="6">
        <v>21960</v>
      </c>
      <c r="K668" s="4">
        <v>29252990</v>
      </c>
      <c r="L668" s="3" t="s">
        <v>2117</v>
      </c>
      <c r="M668" s="3" t="s">
        <v>2118</v>
      </c>
      <c r="N668" s="5">
        <f t="shared" si="10"/>
        <v>18</v>
      </c>
    </row>
    <row r="669" spans="1:14" ht="14.4" x14ac:dyDescent="0.3">
      <c r="A669" s="3" t="s">
        <v>2119</v>
      </c>
      <c r="B669" s="3" t="s">
        <v>315</v>
      </c>
      <c r="C669" s="3" t="s">
        <v>134</v>
      </c>
      <c r="D669" s="3" t="s">
        <v>292</v>
      </c>
      <c r="E669" s="3" t="s">
        <v>298</v>
      </c>
      <c r="F669" s="3" t="s">
        <v>2120</v>
      </c>
      <c r="G669" s="3" t="s">
        <v>3791</v>
      </c>
      <c r="H669" s="7">
        <v>44779</v>
      </c>
      <c r="I669" s="6">
        <v>239860</v>
      </c>
      <c r="J669" s="6">
        <v>43174.8</v>
      </c>
      <c r="K669" s="4">
        <v>29332990</v>
      </c>
      <c r="L669" s="3" t="s">
        <v>2059</v>
      </c>
      <c r="M669" s="3" t="s">
        <v>2118</v>
      </c>
      <c r="N669" s="5">
        <f t="shared" si="10"/>
        <v>18</v>
      </c>
    </row>
    <row r="670" spans="1:14" ht="14.4" x14ac:dyDescent="0.3">
      <c r="A670" s="3" t="s">
        <v>2121</v>
      </c>
      <c r="B670" s="3" t="s">
        <v>309</v>
      </c>
      <c r="C670" s="3" t="s">
        <v>310</v>
      </c>
      <c r="D670" s="3" t="s">
        <v>311</v>
      </c>
      <c r="E670" s="3" t="s">
        <v>80</v>
      </c>
      <c r="F670" s="3" t="s">
        <v>2122</v>
      </c>
      <c r="G670" s="3" t="s">
        <v>3792</v>
      </c>
      <c r="H670" s="7">
        <v>44774</v>
      </c>
      <c r="I670" s="6">
        <v>210000</v>
      </c>
      <c r="J670" s="6">
        <v>37800</v>
      </c>
      <c r="K670" s="4">
        <v>29335990</v>
      </c>
      <c r="L670" s="3" t="s">
        <v>313</v>
      </c>
      <c r="M670" s="3" t="s">
        <v>675</v>
      </c>
      <c r="N670" s="5">
        <f t="shared" si="10"/>
        <v>18</v>
      </c>
    </row>
    <row r="671" spans="1:14" ht="14.4" x14ac:dyDescent="0.3">
      <c r="A671" s="3" t="s">
        <v>2123</v>
      </c>
      <c r="B671" s="3" t="s">
        <v>2124</v>
      </c>
      <c r="C671" s="3" t="s">
        <v>134</v>
      </c>
      <c r="D671" s="3" t="s">
        <v>372</v>
      </c>
      <c r="E671" s="3" t="s">
        <v>2125</v>
      </c>
      <c r="F671" s="3" t="s">
        <v>2126</v>
      </c>
      <c r="G671" s="3">
        <v>1692</v>
      </c>
      <c r="H671" s="7">
        <v>44797</v>
      </c>
      <c r="I671" s="6">
        <v>830000</v>
      </c>
      <c r="J671" s="6">
        <v>149400</v>
      </c>
      <c r="K671" s="4">
        <v>29419090</v>
      </c>
      <c r="L671" s="3" t="s">
        <v>2127</v>
      </c>
      <c r="M671" s="3" t="s">
        <v>516</v>
      </c>
      <c r="N671" s="5">
        <f t="shared" si="10"/>
        <v>18</v>
      </c>
    </row>
    <row r="672" spans="1:14" ht="14.4" x14ac:dyDescent="0.3">
      <c r="A672" s="3" t="s">
        <v>2128</v>
      </c>
      <c r="B672" s="3" t="s">
        <v>309</v>
      </c>
      <c r="C672" s="3" t="s">
        <v>310</v>
      </c>
      <c r="D672" s="3" t="s">
        <v>311</v>
      </c>
      <c r="E672" s="3" t="s">
        <v>80</v>
      </c>
      <c r="F672" s="3" t="s">
        <v>2129</v>
      </c>
      <c r="G672" s="3" t="s">
        <v>3793</v>
      </c>
      <c r="H672" s="7">
        <v>44797</v>
      </c>
      <c r="I672" s="6">
        <v>105000</v>
      </c>
      <c r="J672" s="6">
        <v>18900</v>
      </c>
      <c r="K672" s="4">
        <v>29335990</v>
      </c>
      <c r="L672" s="3" t="s">
        <v>313</v>
      </c>
      <c r="M672" s="3"/>
      <c r="N672" s="5">
        <f t="shared" si="10"/>
        <v>18</v>
      </c>
    </row>
    <row r="673" spans="1:14" ht="14.4" x14ac:dyDescent="0.3">
      <c r="A673" s="3" t="s">
        <v>2130</v>
      </c>
      <c r="B673" s="3" t="s">
        <v>371</v>
      </c>
      <c r="C673" s="3" t="s">
        <v>2131</v>
      </c>
      <c r="D673" s="3" t="s">
        <v>372</v>
      </c>
      <c r="E673" s="3" t="s">
        <v>80</v>
      </c>
      <c r="F673" s="3" t="s">
        <v>2132</v>
      </c>
      <c r="G673" s="3">
        <v>106090</v>
      </c>
      <c r="H673" s="7">
        <v>44786</v>
      </c>
      <c r="I673" s="6">
        <v>228000</v>
      </c>
      <c r="J673" s="6">
        <v>41040</v>
      </c>
      <c r="K673" s="4">
        <v>39123922</v>
      </c>
      <c r="L673" s="3"/>
      <c r="M673" s="3" t="s">
        <v>675</v>
      </c>
      <c r="N673" s="5">
        <f t="shared" si="10"/>
        <v>18</v>
      </c>
    </row>
    <row r="674" spans="1:14" ht="14.4" x14ac:dyDescent="0.3">
      <c r="A674" s="3" t="s">
        <v>2133</v>
      </c>
      <c r="B674" s="3" t="s">
        <v>2124</v>
      </c>
      <c r="C674" s="3" t="s">
        <v>134</v>
      </c>
      <c r="D674" s="3" t="s">
        <v>372</v>
      </c>
      <c r="E674" s="3" t="s">
        <v>2125</v>
      </c>
      <c r="F674" s="3" t="s">
        <v>2134</v>
      </c>
      <c r="G674" s="3">
        <v>1571</v>
      </c>
      <c r="H674" s="7">
        <v>44786</v>
      </c>
      <c r="I674" s="6">
        <v>1478750</v>
      </c>
      <c r="J674" s="6">
        <v>266175</v>
      </c>
      <c r="K674" s="4">
        <v>29419090</v>
      </c>
      <c r="L674" s="3" t="s">
        <v>2127</v>
      </c>
      <c r="M674" s="3" t="s">
        <v>675</v>
      </c>
      <c r="N674" s="5">
        <f t="shared" si="10"/>
        <v>18</v>
      </c>
    </row>
    <row r="675" spans="1:14" ht="14.4" x14ac:dyDescent="0.3">
      <c r="A675" s="3" t="s">
        <v>2135</v>
      </c>
      <c r="B675" s="3" t="s">
        <v>677</v>
      </c>
      <c r="C675" s="3" t="s">
        <v>134</v>
      </c>
      <c r="D675" s="3" t="s">
        <v>678</v>
      </c>
      <c r="E675" s="3" t="s">
        <v>22</v>
      </c>
      <c r="F675" s="3" t="s">
        <v>2136</v>
      </c>
      <c r="G675" s="3" t="s">
        <v>3794</v>
      </c>
      <c r="H675" s="7">
        <v>44783</v>
      </c>
      <c r="I675" s="6">
        <v>66322.87</v>
      </c>
      <c r="J675" s="6">
        <v>11938.12</v>
      </c>
      <c r="K675" s="4">
        <v>29420090</v>
      </c>
      <c r="L675" s="3" t="s">
        <v>184</v>
      </c>
      <c r="M675" s="3"/>
      <c r="N675" s="5">
        <f t="shared" si="10"/>
        <v>18.000005126436779</v>
      </c>
    </row>
    <row r="676" spans="1:14" ht="14.4" x14ac:dyDescent="0.3">
      <c r="A676" s="3" t="s">
        <v>2137</v>
      </c>
      <c r="B676" s="3" t="s">
        <v>309</v>
      </c>
      <c r="C676" s="3" t="s">
        <v>310</v>
      </c>
      <c r="D676" s="3" t="s">
        <v>311</v>
      </c>
      <c r="E676" s="3" t="s">
        <v>80</v>
      </c>
      <c r="F676" s="3" t="s">
        <v>2138</v>
      </c>
      <c r="G676" s="3" t="s">
        <v>3795</v>
      </c>
      <c r="H676" s="7">
        <v>44782</v>
      </c>
      <c r="I676" s="6">
        <v>34000</v>
      </c>
      <c r="J676" s="6">
        <v>6120</v>
      </c>
      <c r="K676" s="4">
        <v>29095090</v>
      </c>
      <c r="L676" s="3" t="s">
        <v>2139</v>
      </c>
      <c r="M676" s="3"/>
      <c r="N676" s="5">
        <f t="shared" si="10"/>
        <v>18</v>
      </c>
    </row>
    <row r="677" spans="1:14" ht="14.4" x14ac:dyDescent="0.3">
      <c r="A677" s="3" t="s">
        <v>2140</v>
      </c>
      <c r="B677" s="3" t="s">
        <v>325</v>
      </c>
      <c r="C677" s="3" t="s">
        <v>134</v>
      </c>
      <c r="D677" s="3" t="s">
        <v>326</v>
      </c>
      <c r="E677" s="3" t="s">
        <v>80</v>
      </c>
      <c r="F677" s="3" t="s">
        <v>2141</v>
      </c>
      <c r="G677" s="3">
        <v>1238</v>
      </c>
      <c r="H677" s="7">
        <v>44782</v>
      </c>
      <c r="I677" s="6">
        <v>82791</v>
      </c>
      <c r="J677" s="6">
        <v>14902</v>
      </c>
      <c r="K677" s="4">
        <v>29420090</v>
      </c>
      <c r="L677" s="3" t="s">
        <v>2142</v>
      </c>
      <c r="M677" s="3" t="s">
        <v>1776</v>
      </c>
      <c r="N677" s="5">
        <f t="shared" si="10"/>
        <v>17.999541012912033</v>
      </c>
    </row>
    <row r="678" spans="1:14" ht="14.4" x14ac:dyDescent="0.3">
      <c r="A678" s="3" t="s">
        <v>2143</v>
      </c>
      <c r="B678" s="3" t="s">
        <v>295</v>
      </c>
      <c r="C678" s="3" t="s">
        <v>296</v>
      </c>
      <c r="D678" s="3" t="s">
        <v>1688</v>
      </c>
      <c r="E678" s="3" t="s">
        <v>298</v>
      </c>
      <c r="F678" s="3" t="s">
        <v>2144</v>
      </c>
      <c r="G678" s="3" t="s">
        <v>3796</v>
      </c>
      <c r="H678" s="7">
        <v>44783</v>
      </c>
      <c r="I678" s="6">
        <v>1179375</v>
      </c>
      <c r="J678" s="6">
        <v>212287.5</v>
      </c>
      <c r="K678" s="4">
        <v>29411030</v>
      </c>
      <c r="L678" s="3" t="s">
        <v>300</v>
      </c>
      <c r="M678" s="3"/>
      <c r="N678" s="5">
        <f t="shared" si="10"/>
        <v>18</v>
      </c>
    </row>
    <row r="679" spans="1:14" ht="14.4" x14ac:dyDescent="0.3">
      <c r="A679" s="3" t="s">
        <v>2145</v>
      </c>
      <c r="B679" s="3" t="s">
        <v>315</v>
      </c>
      <c r="C679" s="3" t="s">
        <v>134</v>
      </c>
      <c r="D679" s="3" t="s">
        <v>292</v>
      </c>
      <c r="E679" s="3" t="s">
        <v>298</v>
      </c>
      <c r="F679" s="3" t="s">
        <v>2146</v>
      </c>
      <c r="G679" s="3" t="s">
        <v>3797</v>
      </c>
      <c r="H679" s="7">
        <v>44777</v>
      </c>
      <c r="I679" s="6">
        <v>330400</v>
      </c>
      <c r="J679" s="6">
        <v>59472</v>
      </c>
      <c r="K679" s="4">
        <v>29225090</v>
      </c>
      <c r="L679" s="3" t="s">
        <v>2147</v>
      </c>
      <c r="M679" s="3" t="s">
        <v>2148</v>
      </c>
      <c r="N679" s="5">
        <f t="shared" si="10"/>
        <v>18</v>
      </c>
    </row>
    <row r="680" spans="1:14" ht="14.4" x14ac:dyDescent="0.3">
      <c r="A680" s="3" t="s">
        <v>2149</v>
      </c>
      <c r="B680" s="3" t="s">
        <v>686</v>
      </c>
      <c r="C680" s="3" t="s">
        <v>134</v>
      </c>
      <c r="D680" s="3" t="s">
        <v>687</v>
      </c>
      <c r="E680" s="3" t="s">
        <v>80</v>
      </c>
      <c r="F680" s="3" t="s">
        <v>2150</v>
      </c>
      <c r="G680" s="3">
        <v>202</v>
      </c>
      <c r="H680" s="7">
        <v>44776</v>
      </c>
      <c r="I680" s="6">
        <v>432432</v>
      </c>
      <c r="J680" s="6">
        <v>77838</v>
      </c>
      <c r="K680" s="4">
        <v>29420090</v>
      </c>
      <c r="L680" s="3"/>
      <c r="M680" s="3"/>
      <c r="N680" s="5">
        <f t="shared" si="10"/>
        <v>18.000055500055499</v>
      </c>
    </row>
    <row r="681" spans="1:14" ht="14.4" x14ac:dyDescent="0.3">
      <c r="A681" s="3" t="s">
        <v>2151</v>
      </c>
      <c r="B681" s="3" t="s">
        <v>166</v>
      </c>
      <c r="C681" s="3" t="s">
        <v>20</v>
      </c>
      <c r="D681" s="3" t="s">
        <v>1055</v>
      </c>
      <c r="E681" s="3" t="s">
        <v>22</v>
      </c>
      <c r="F681" s="3" t="s">
        <v>2152</v>
      </c>
      <c r="G681" s="3">
        <v>338</v>
      </c>
      <c r="H681" s="7">
        <v>44803</v>
      </c>
      <c r="I681" s="6">
        <v>58269.599999999999</v>
      </c>
      <c r="J681" s="6">
        <v>10488.52</v>
      </c>
      <c r="K681" s="4">
        <v>76072090</v>
      </c>
      <c r="L681" s="3" t="s">
        <v>169</v>
      </c>
      <c r="M681" s="3" t="s">
        <v>107</v>
      </c>
      <c r="N681" s="5">
        <f t="shared" si="10"/>
        <v>17.999986270714061</v>
      </c>
    </row>
    <row r="682" spans="1:14" ht="14.4" x14ac:dyDescent="0.3">
      <c r="A682" s="3" t="s">
        <v>2153</v>
      </c>
      <c r="B682" s="3" t="s">
        <v>161</v>
      </c>
      <c r="C682" s="3" t="s">
        <v>56</v>
      </c>
      <c r="D682" s="3" t="s">
        <v>57</v>
      </c>
      <c r="E682" s="3" t="s">
        <v>162</v>
      </c>
      <c r="F682" s="3" t="s">
        <v>2154</v>
      </c>
      <c r="G682" s="3" t="s">
        <v>3798</v>
      </c>
      <c r="H682" s="7">
        <v>44802</v>
      </c>
      <c r="I682" s="6">
        <v>830415</v>
      </c>
      <c r="J682" s="6">
        <v>149474.70000000001</v>
      </c>
      <c r="K682" s="4">
        <v>29419090</v>
      </c>
      <c r="L682" s="3" t="s">
        <v>2155</v>
      </c>
      <c r="M682" s="3" t="s">
        <v>343</v>
      </c>
      <c r="N682" s="5">
        <f t="shared" si="10"/>
        <v>18.000000000000004</v>
      </c>
    </row>
    <row r="683" spans="1:14" ht="14.4" x14ac:dyDescent="0.3">
      <c r="A683" s="3" t="s">
        <v>2156</v>
      </c>
      <c r="B683" s="3" t="s">
        <v>593</v>
      </c>
      <c r="C683" s="3" t="s">
        <v>20</v>
      </c>
      <c r="D683" s="3" t="s">
        <v>2157</v>
      </c>
      <c r="E683" s="3" t="s">
        <v>22</v>
      </c>
      <c r="F683" s="3" t="s">
        <v>2158</v>
      </c>
      <c r="G683" s="3" t="s">
        <v>3799</v>
      </c>
      <c r="H683" s="7">
        <v>44803</v>
      </c>
      <c r="I683" s="6">
        <v>289000</v>
      </c>
      <c r="J683" s="6">
        <v>52020</v>
      </c>
      <c r="K683" s="4">
        <v>29411040</v>
      </c>
      <c r="L683" s="3" t="s">
        <v>2159</v>
      </c>
      <c r="M683" s="3" t="s">
        <v>2160</v>
      </c>
      <c r="N683" s="5">
        <f t="shared" si="10"/>
        <v>18</v>
      </c>
    </row>
    <row r="684" spans="1:14" ht="14.4" x14ac:dyDescent="0.3">
      <c r="A684" s="3" t="s">
        <v>2161</v>
      </c>
      <c r="B684" s="3" t="s">
        <v>89</v>
      </c>
      <c r="C684" s="3" t="s">
        <v>20</v>
      </c>
      <c r="D684" s="3" t="s">
        <v>50</v>
      </c>
      <c r="E684" s="3" t="s">
        <v>22</v>
      </c>
      <c r="F684" s="3" t="s">
        <v>2162</v>
      </c>
      <c r="G684" s="3">
        <v>539</v>
      </c>
      <c r="H684" s="7">
        <v>44803</v>
      </c>
      <c r="I684" s="6">
        <v>57616.7</v>
      </c>
      <c r="J684" s="6">
        <v>10371</v>
      </c>
      <c r="K684" s="4">
        <v>76071994</v>
      </c>
      <c r="L684" s="3" t="s">
        <v>131</v>
      </c>
      <c r="M684" s="3" t="s">
        <v>36</v>
      </c>
      <c r="N684" s="5">
        <f t="shared" si="10"/>
        <v>17.999989586352569</v>
      </c>
    </row>
    <row r="685" spans="1:14" ht="14.4" x14ac:dyDescent="0.3">
      <c r="A685" s="3" t="s">
        <v>2163</v>
      </c>
      <c r="B685" s="3" t="s">
        <v>575</v>
      </c>
      <c r="C685" s="3" t="s">
        <v>20</v>
      </c>
      <c r="D685" s="3" t="s">
        <v>2164</v>
      </c>
      <c r="E685" s="3" t="s">
        <v>22</v>
      </c>
      <c r="F685" s="3" t="s">
        <v>2165</v>
      </c>
      <c r="G685" s="3" t="s">
        <v>3800</v>
      </c>
      <c r="H685" s="7">
        <v>44799</v>
      </c>
      <c r="I685" s="6">
        <v>218750</v>
      </c>
      <c r="J685" s="6">
        <v>39375</v>
      </c>
      <c r="K685" s="4">
        <v>39059990</v>
      </c>
      <c r="L685" s="3"/>
      <c r="M685" s="3" t="s">
        <v>467</v>
      </c>
      <c r="N685" s="5">
        <f t="shared" si="10"/>
        <v>18</v>
      </c>
    </row>
    <row r="686" spans="1:14" ht="14.4" x14ac:dyDescent="0.3">
      <c r="A686" s="3" t="s">
        <v>2166</v>
      </c>
      <c r="B686" s="3" t="s">
        <v>178</v>
      </c>
      <c r="C686" s="3" t="s">
        <v>20</v>
      </c>
      <c r="D686" s="3" t="s">
        <v>50</v>
      </c>
      <c r="E686" s="3" t="s">
        <v>22</v>
      </c>
      <c r="F686" s="3" t="s">
        <v>2167</v>
      </c>
      <c r="G686" s="3" t="s">
        <v>3801</v>
      </c>
      <c r="H686" s="7">
        <v>44798</v>
      </c>
      <c r="I686" s="6">
        <v>80430.149999999994</v>
      </c>
      <c r="J686" s="6">
        <v>14477.42</v>
      </c>
      <c r="K686" s="4">
        <v>76071995</v>
      </c>
      <c r="L686" s="3" t="s">
        <v>180</v>
      </c>
      <c r="M686" s="3" t="s">
        <v>104</v>
      </c>
      <c r="N686" s="5">
        <f t="shared" si="10"/>
        <v>17.99999129679604</v>
      </c>
    </row>
    <row r="687" spans="1:14" ht="14.4" x14ac:dyDescent="0.3">
      <c r="A687" s="3" t="s">
        <v>2168</v>
      </c>
      <c r="B687" s="3" t="s">
        <v>89</v>
      </c>
      <c r="C687" s="3" t="s">
        <v>20</v>
      </c>
      <c r="D687" s="3" t="s">
        <v>50</v>
      </c>
      <c r="E687" s="3" t="s">
        <v>22</v>
      </c>
      <c r="F687" s="3" t="s">
        <v>2169</v>
      </c>
      <c r="G687" s="3">
        <v>526</v>
      </c>
      <c r="H687" s="7">
        <v>44798</v>
      </c>
      <c r="I687" s="6">
        <v>13200</v>
      </c>
      <c r="J687" s="6">
        <v>2376</v>
      </c>
      <c r="K687" s="4">
        <v>84425010</v>
      </c>
      <c r="L687" s="3" t="s">
        <v>91</v>
      </c>
      <c r="M687" s="3" t="s">
        <v>104</v>
      </c>
      <c r="N687" s="5">
        <f t="shared" si="10"/>
        <v>18</v>
      </c>
    </row>
    <row r="688" spans="1:14" ht="14.4" x14ac:dyDescent="0.3">
      <c r="A688" s="3" t="s">
        <v>2170</v>
      </c>
      <c r="B688" s="3" t="s">
        <v>49</v>
      </c>
      <c r="C688" s="3" t="s">
        <v>20</v>
      </c>
      <c r="D688" s="3" t="s">
        <v>50</v>
      </c>
      <c r="E688" s="3" t="s">
        <v>22</v>
      </c>
      <c r="F688" s="3" t="s">
        <v>2171</v>
      </c>
      <c r="G688" s="3" t="s">
        <v>3802</v>
      </c>
      <c r="H688" s="7">
        <v>44795</v>
      </c>
      <c r="I688" s="6">
        <v>50431.5</v>
      </c>
      <c r="J688" s="6">
        <v>9077.68</v>
      </c>
      <c r="K688" s="4">
        <v>48192020</v>
      </c>
      <c r="L688" s="3" t="s">
        <v>52</v>
      </c>
      <c r="M688" s="3" t="s">
        <v>36</v>
      </c>
      <c r="N688" s="5">
        <f t="shared" si="10"/>
        <v>18.000019828876795</v>
      </c>
    </row>
    <row r="689" spans="1:14" ht="14.4" x14ac:dyDescent="0.3">
      <c r="A689" s="3" t="s">
        <v>2172</v>
      </c>
      <c r="B689" s="3" t="s">
        <v>182</v>
      </c>
      <c r="C689" s="3" t="s">
        <v>20</v>
      </c>
      <c r="D689" s="3" t="s">
        <v>167</v>
      </c>
      <c r="E689" s="3" t="s">
        <v>22</v>
      </c>
      <c r="F689" s="3" t="s">
        <v>2173</v>
      </c>
      <c r="G689" s="3" t="s">
        <v>3803</v>
      </c>
      <c r="H689" s="7">
        <v>44792</v>
      </c>
      <c r="I689" s="6">
        <v>145000</v>
      </c>
      <c r="J689" s="6">
        <v>26100</v>
      </c>
      <c r="K689" s="4">
        <v>17021110</v>
      </c>
      <c r="L689" s="3" t="s">
        <v>1302</v>
      </c>
      <c r="M689" s="3" t="s">
        <v>36</v>
      </c>
      <c r="N689" s="5">
        <f t="shared" si="10"/>
        <v>18</v>
      </c>
    </row>
    <row r="690" spans="1:14" ht="14.4" x14ac:dyDescent="0.3">
      <c r="A690" s="3" t="s">
        <v>2174</v>
      </c>
      <c r="B690" s="3" t="s">
        <v>993</v>
      </c>
      <c r="C690" s="3" t="s">
        <v>310</v>
      </c>
      <c r="D690" s="3" t="s">
        <v>57</v>
      </c>
      <c r="E690" s="3" t="s">
        <v>80</v>
      </c>
      <c r="F690" s="3" t="s">
        <v>2175</v>
      </c>
      <c r="G690" s="3" t="s">
        <v>3804</v>
      </c>
      <c r="H690" s="7">
        <v>44790</v>
      </c>
      <c r="I690" s="6">
        <v>38019</v>
      </c>
      <c r="J690" s="6">
        <v>6843.42</v>
      </c>
      <c r="K690" s="4">
        <v>29362940</v>
      </c>
      <c r="L690" s="3" t="s">
        <v>995</v>
      </c>
      <c r="M690" s="3" t="s">
        <v>36</v>
      </c>
      <c r="N690" s="5">
        <f t="shared" si="10"/>
        <v>18</v>
      </c>
    </row>
    <row r="691" spans="1:14" ht="14.4" x14ac:dyDescent="0.3">
      <c r="A691" s="3" t="s">
        <v>2176</v>
      </c>
      <c r="B691" s="3" t="s">
        <v>1516</v>
      </c>
      <c r="C691" s="3" t="s">
        <v>26</v>
      </c>
      <c r="D691" s="3" t="s">
        <v>1517</v>
      </c>
      <c r="E691" s="3" t="s">
        <v>1518</v>
      </c>
      <c r="F691" s="3" t="s">
        <v>2177</v>
      </c>
      <c r="G691" s="3">
        <v>1210653</v>
      </c>
      <c r="H691" s="7">
        <v>44783</v>
      </c>
      <c r="I691" s="6">
        <v>847500</v>
      </c>
      <c r="J691" s="6"/>
      <c r="K691" s="4">
        <v>29419090</v>
      </c>
      <c r="L691" s="3" t="s">
        <v>1614</v>
      </c>
      <c r="M691" s="3"/>
      <c r="N691" s="5">
        <f t="shared" si="10"/>
        <v>0</v>
      </c>
    </row>
    <row r="692" spans="1:14" ht="14.4" x14ac:dyDescent="0.3">
      <c r="A692" s="3" t="s">
        <v>2178</v>
      </c>
      <c r="B692" s="3" t="s">
        <v>182</v>
      </c>
      <c r="C692" s="3" t="s">
        <v>20</v>
      </c>
      <c r="D692" s="3" t="s">
        <v>167</v>
      </c>
      <c r="E692" s="3" t="s">
        <v>22</v>
      </c>
      <c r="F692" s="3" t="s">
        <v>2179</v>
      </c>
      <c r="G692" s="3" t="s">
        <v>3805</v>
      </c>
      <c r="H692" s="7">
        <v>44774</v>
      </c>
      <c r="I692" s="6">
        <v>43200</v>
      </c>
      <c r="J692" s="6">
        <v>7776</v>
      </c>
      <c r="K692" s="4">
        <v>29051220</v>
      </c>
      <c r="L692" s="3" t="s">
        <v>501</v>
      </c>
      <c r="M692" s="3" t="s">
        <v>36</v>
      </c>
      <c r="N692" s="5">
        <f t="shared" si="10"/>
        <v>18</v>
      </c>
    </row>
    <row r="693" spans="1:14" ht="14.4" x14ac:dyDescent="0.3">
      <c r="A693" s="3" t="s">
        <v>2180</v>
      </c>
      <c r="B693" s="3" t="s">
        <v>980</v>
      </c>
      <c r="C693" s="3" t="s">
        <v>20</v>
      </c>
      <c r="D693" s="3" t="s">
        <v>755</v>
      </c>
      <c r="E693" s="3" t="s">
        <v>22</v>
      </c>
      <c r="F693" s="3" t="s">
        <v>2181</v>
      </c>
      <c r="G693" s="3">
        <v>5246</v>
      </c>
      <c r="H693" s="7">
        <v>44804</v>
      </c>
      <c r="I693" s="6">
        <v>48881</v>
      </c>
      <c r="J693" s="6">
        <v>8798.58</v>
      </c>
      <c r="K693" s="4">
        <v>8442</v>
      </c>
      <c r="L693" s="3" t="s">
        <v>2182</v>
      </c>
      <c r="M693" s="3" t="s">
        <v>2183</v>
      </c>
      <c r="N693" s="5">
        <f t="shared" si="10"/>
        <v>18</v>
      </c>
    </row>
    <row r="694" spans="1:14" ht="14.4" x14ac:dyDescent="0.3">
      <c r="A694" s="3" t="s">
        <v>2184</v>
      </c>
      <c r="B694" s="3" t="s">
        <v>462</v>
      </c>
      <c r="C694" s="3" t="s">
        <v>20</v>
      </c>
      <c r="D694" s="3" t="s">
        <v>50</v>
      </c>
      <c r="E694" s="3" t="s">
        <v>22</v>
      </c>
      <c r="F694" s="3" t="s">
        <v>2185</v>
      </c>
      <c r="G694" s="3" t="s">
        <v>3806</v>
      </c>
      <c r="H694" s="7">
        <v>44803</v>
      </c>
      <c r="I694" s="6">
        <v>93195.75</v>
      </c>
      <c r="J694" s="6">
        <v>16775.240000000002</v>
      </c>
      <c r="K694" s="4">
        <v>7607</v>
      </c>
      <c r="L694" s="3" t="s">
        <v>2186</v>
      </c>
      <c r="M694" s="3" t="s">
        <v>36</v>
      </c>
      <c r="N694" s="5">
        <f t="shared" si="10"/>
        <v>18.000005365051521</v>
      </c>
    </row>
    <row r="695" spans="1:14" ht="14.4" x14ac:dyDescent="0.3">
      <c r="A695" s="3" t="s">
        <v>2187</v>
      </c>
      <c r="B695" s="3" t="s">
        <v>394</v>
      </c>
      <c r="C695" s="3" t="s">
        <v>26</v>
      </c>
      <c r="D695" s="3" t="s">
        <v>95</v>
      </c>
      <c r="E695" s="3" t="s">
        <v>22</v>
      </c>
      <c r="F695" s="3" t="s">
        <v>2188</v>
      </c>
      <c r="G695" s="3" t="s">
        <v>3807</v>
      </c>
      <c r="H695" s="7">
        <v>44803</v>
      </c>
      <c r="I695" s="6">
        <v>57246.05</v>
      </c>
      <c r="J695" s="6">
        <v>10304.299999999999</v>
      </c>
      <c r="K695" s="4">
        <v>48192090</v>
      </c>
      <c r="L695" s="3" t="s">
        <v>97</v>
      </c>
      <c r="M695" s="3" t="s">
        <v>36</v>
      </c>
      <c r="N695" s="5">
        <f t="shared" si="10"/>
        <v>18.000019215299567</v>
      </c>
    </row>
    <row r="696" spans="1:14" ht="14.4" x14ac:dyDescent="0.3">
      <c r="A696" s="3" t="s">
        <v>2189</v>
      </c>
      <c r="B696" s="3" t="s">
        <v>55</v>
      </c>
      <c r="C696" s="3" t="s">
        <v>56</v>
      </c>
      <c r="D696" s="3" t="s">
        <v>57</v>
      </c>
      <c r="E696" s="3" t="s">
        <v>22</v>
      </c>
      <c r="F696" s="3" t="s">
        <v>2190</v>
      </c>
      <c r="G696" s="3" t="s">
        <v>3808</v>
      </c>
      <c r="H696" s="7">
        <v>44802</v>
      </c>
      <c r="I696" s="6">
        <v>111300</v>
      </c>
      <c r="J696" s="6">
        <v>20034</v>
      </c>
      <c r="K696" s="4">
        <v>96020030</v>
      </c>
      <c r="L696" s="3"/>
      <c r="M696" s="3" t="s">
        <v>675</v>
      </c>
      <c r="N696" s="5">
        <f t="shared" si="10"/>
        <v>18</v>
      </c>
    </row>
    <row r="697" spans="1:14" ht="14.4" x14ac:dyDescent="0.3">
      <c r="A697" s="3" t="s">
        <v>2191</v>
      </c>
      <c r="B697" s="3" t="s">
        <v>166</v>
      </c>
      <c r="C697" s="3" t="s">
        <v>20</v>
      </c>
      <c r="D697" s="3" t="s">
        <v>1055</v>
      </c>
      <c r="E697" s="3" t="s">
        <v>22</v>
      </c>
      <c r="F697" s="3" t="s">
        <v>2192</v>
      </c>
      <c r="G697" s="3">
        <v>330</v>
      </c>
      <c r="H697" s="7">
        <v>44801</v>
      </c>
      <c r="I697" s="6">
        <v>43460</v>
      </c>
      <c r="J697" s="6">
        <v>7822.8</v>
      </c>
      <c r="K697" s="4">
        <v>76071995</v>
      </c>
      <c r="L697" s="3" t="s">
        <v>2193</v>
      </c>
      <c r="M697" s="3" t="s">
        <v>675</v>
      </c>
      <c r="N697" s="5">
        <f t="shared" si="10"/>
        <v>18</v>
      </c>
    </row>
    <row r="698" spans="1:14" ht="14.4" x14ac:dyDescent="0.3">
      <c r="A698" s="3" t="s">
        <v>2194</v>
      </c>
      <c r="B698" s="3" t="s">
        <v>2195</v>
      </c>
      <c r="C698" s="3" t="s">
        <v>20</v>
      </c>
      <c r="D698" s="3" t="s">
        <v>156</v>
      </c>
      <c r="E698" s="3" t="s">
        <v>22</v>
      </c>
      <c r="F698" s="3" t="s">
        <v>2196</v>
      </c>
      <c r="G698" s="3" t="s">
        <v>3809</v>
      </c>
      <c r="H698" s="7">
        <v>44801</v>
      </c>
      <c r="I698" s="6">
        <v>50407.95</v>
      </c>
      <c r="J698" s="6">
        <v>9073.44</v>
      </c>
      <c r="K698" s="4">
        <v>4819</v>
      </c>
      <c r="L698" s="3" t="s">
        <v>2197</v>
      </c>
      <c r="M698" s="3" t="s">
        <v>2198</v>
      </c>
      <c r="N698" s="5">
        <f t="shared" si="10"/>
        <v>18.000017854326551</v>
      </c>
    </row>
    <row r="699" spans="1:14" ht="14.4" x14ac:dyDescent="0.3">
      <c r="A699" s="3" t="s">
        <v>2199</v>
      </c>
      <c r="B699" s="3" t="s">
        <v>55</v>
      </c>
      <c r="C699" s="3" t="s">
        <v>56</v>
      </c>
      <c r="D699" s="3" t="s">
        <v>57</v>
      </c>
      <c r="E699" s="3" t="s">
        <v>22</v>
      </c>
      <c r="F699" s="3" t="s">
        <v>2200</v>
      </c>
      <c r="G699" s="3" t="s">
        <v>3810</v>
      </c>
      <c r="H699" s="7">
        <v>44799</v>
      </c>
      <c r="I699" s="6">
        <v>74000</v>
      </c>
      <c r="J699" s="6">
        <v>13320</v>
      </c>
      <c r="K699" s="4">
        <v>29333990</v>
      </c>
      <c r="L699" s="3"/>
      <c r="M699" s="3" t="s">
        <v>467</v>
      </c>
      <c r="N699" s="5">
        <f t="shared" si="10"/>
        <v>18</v>
      </c>
    </row>
    <row r="700" spans="1:14" ht="14.4" x14ac:dyDescent="0.3">
      <c r="A700" s="3" t="s">
        <v>2201</v>
      </c>
      <c r="B700" s="3" t="s">
        <v>575</v>
      </c>
      <c r="C700" s="3" t="s">
        <v>20</v>
      </c>
      <c r="D700" s="3" t="s">
        <v>2164</v>
      </c>
      <c r="E700" s="3" t="s">
        <v>22</v>
      </c>
      <c r="F700" s="3" t="s">
        <v>2202</v>
      </c>
      <c r="G700" s="3" t="s">
        <v>3811</v>
      </c>
      <c r="H700" s="7">
        <v>44799</v>
      </c>
      <c r="I700" s="6">
        <v>165000</v>
      </c>
      <c r="J700" s="6">
        <v>29700</v>
      </c>
      <c r="K700" s="4">
        <v>28112200</v>
      </c>
      <c r="L700" s="3"/>
      <c r="M700" s="3" t="s">
        <v>467</v>
      </c>
      <c r="N700" s="5">
        <f t="shared" si="10"/>
        <v>18</v>
      </c>
    </row>
    <row r="701" spans="1:14" ht="14.4" x14ac:dyDescent="0.3">
      <c r="A701" s="3" t="s">
        <v>2203</v>
      </c>
      <c r="B701" s="3" t="s">
        <v>161</v>
      </c>
      <c r="C701" s="3" t="s">
        <v>56</v>
      </c>
      <c r="D701" s="3" t="s">
        <v>57</v>
      </c>
      <c r="E701" s="3" t="s">
        <v>162</v>
      </c>
      <c r="F701" s="3" t="s">
        <v>2204</v>
      </c>
      <c r="G701" s="3" t="s">
        <v>3812</v>
      </c>
      <c r="H701" s="7">
        <v>44798</v>
      </c>
      <c r="I701" s="6">
        <v>330165</v>
      </c>
      <c r="J701" s="6">
        <v>59429.7</v>
      </c>
      <c r="K701" s="4">
        <v>29419090</v>
      </c>
      <c r="L701" s="3" t="s">
        <v>2155</v>
      </c>
      <c r="M701" s="3" t="s">
        <v>2205</v>
      </c>
      <c r="N701" s="5">
        <f t="shared" si="10"/>
        <v>18</v>
      </c>
    </row>
    <row r="702" spans="1:14" ht="14.4" x14ac:dyDescent="0.3">
      <c r="A702" s="3" t="s">
        <v>2206</v>
      </c>
      <c r="B702" s="3" t="s">
        <v>84</v>
      </c>
      <c r="C702" s="3" t="s">
        <v>20</v>
      </c>
      <c r="D702" s="3" t="s">
        <v>239</v>
      </c>
      <c r="E702" s="3" t="s">
        <v>22</v>
      </c>
      <c r="F702" s="3" t="s">
        <v>2207</v>
      </c>
      <c r="G702" s="3" t="s">
        <v>3813</v>
      </c>
      <c r="H702" s="7">
        <v>44797</v>
      </c>
      <c r="I702" s="6">
        <v>88948.6</v>
      </c>
      <c r="J702" s="6">
        <v>16010.75</v>
      </c>
      <c r="K702" s="4">
        <v>3921</v>
      </c>
      <c r="L702" s="3" t="s">
        <v>118</v>
      </c>
      <c r="M702" s="3" t="s">
        <v>2208</v>
      </c>
      <c r="N702" s="5">
        <f t="shared" si="10"/>
        <v>18.000002248489576</v>
      </c>
    </row>
    <row r="703" spans="1:14" ht="14.4" x14ac:dyDescent="0.3">
      <c r="A703" s="3" t="s">
        <v>2209</v>
      </c>
      <c r="B703" s="3" t="s">
        <v>89</v>
      </c>
      <c r="C703" s="3" t="s">
        <v>20</v>
      </c>
      <c r="D703" s="3" t="s">
        <v>50</v>
      </c>
      <c r="E703" s="3" t="s">
        <v>22</v>
      </c>
      <c r="F703" s="3" t="s">
        <v>2210</v>
      </c>
      <c r="G703" s="3">
        <v>525</v>
      </c>
      <c r="H703" s="7">
        <v>44798</v>
      </c>
      <c r="I703" s="6">
        <v>37068.199999999997</v>
      </c>
      <c r="J703" s="6">
        <v>6672.28</v>
      </c>
      <c r="K703" s="4">
        <v>76071994</v>
      </c>
      <c r="L703" s="3" t="s">
        <v>131</v>
      </c>
      <c r="M703" s="3" t="s">
        <v>104</v>
      </c>
      <c r="N703" s="5">
        <f t="shared" si="10"/>
        <v>18.00001079092052</v>
      </c>
    </row>
    <row r="704" spans="1:14" ht="14.4" x14ac:dyDescent="0.3">
      <c r="A704" s="3" t="s">
        <v>2211</v>
      </c>
      <c r="B704" s="3" t="s">
        <v>155</v>
      </c>
      <c r="C704" s="3" t="s">
        <v>20</v>
      </c>
      <c r="D704" s="3" t="s">
        <v>156</v>
      </c>
      <c r="E704" s="3" t="s">
        <v>22</v>
      </c>
      <c r="F704" s="3" t="s">
        <v>2212</v>
      </c>
      <c r="G704" s="3" t="s">
        <v>3814</v>
      </c>
      <c r="H704" s="7">
        <v>44794</v>
      </c>
      <c r="I704" s="6">
        <v>50747.1</v>
      </c>
      <c r="J704" s="6">
        <v>9134.48</v>
      </c>
      <c r="K704" s="4">
        <v>48191010</v>
      </c>
      <c r="L704" s="3" t="s">
        <v>2213</v>
      </c>
      <c r="M704" s="3" t="s">
        <v>159</v>
      </c>
      <c r="N704" s="5">
        <f t="shared" si="10"/>
        <v>18.000003941111906</v>
      </c>
    </row>
    <row r="705" spans="1:14" ht="14.4" x14ac:dyDescent="0.3">
      <c r="A705" s="3" t="s">
        <v>2214</v>
      </c>
      <c r="B705" s="3" t="s">
        <v>178</v>
      </c>
      <c r="C705" s="3" t="s">
        <v>20</v>
      </c>
      <c r="D705" s="3" t="s">
        <v>50</v>
      </c>
      <c r="E705" s="3" t="s">
        <v>22</v>
      </c>
      <c r="F705" s="3" t="s">
        <v>2215</v>
      </c>
      <c r="G705" s="3" t="s">
        <v>3815</v>
      </c>
      <c r="H705" s="7">
        <v>44793</v>
      </c>
      <c r="I705" s="6">
        <v>74935.3</v>
      </c>
      <c r="J705" s="6">
        <v>13488.36</v>
      </c>
      <c r="K705" s="4">
        <v>76071995</v>
      </c>
      <c r="L705" s="3" t="s">
        <v>180</v>
      </c>
      <c r="M705" s="3" t="s">
        <v>32</v>
      </c>
      <c r="N705" s="5">
        <f t="shared" si="10"/>
        <v>18.00000800690729</v>
      </c>
    </row>
    <row r="706" spans="1:14" ht="14.4" x14ac:dyDescent="0.3">
      <c r="A706" s="3" t="s">
        <v>2216</v>
      </c>
      <c r="B706" s="3" t="s">
        <v>444</v>
      </c>
      <c r="C706" s="3" t="s">
        <v>270</v>
      </c>
      <c r="D706" s="3" t="s">
        <v>445</v>
      </c>
      <c r="E706" s="3" t="s">
        <v>22</v>
      </c>
      <c r="F706" s="3" t="s">
        <v>2217</v>
      </c>
      <c r="G706" s="3" t="s">
        <v>3816</v>
      </c>
      <c r="H706" s="7">
        <v>44793</v>
      </c>
      <c r="I706" s="6">
        <v>52500</v>
      </c>
      <c r="J706" s="6">
        <v>9450</v>
      </c>
      <c r="K706" s="4">
        <v>39139019</v>
      </c>
      <c r="L706" s="3" t="s">
        <v>2218</v>
      </c>
      <c r="M706" s="3" t="s">
        <v>467</v>
      </c>
      <c r="N706" s="5">
        <f t="shared" si="10"/>
        <v>18</v>
      </c>
    </row>
    <row r="707" spans="1:14" ht="14.4" x14ac:dyDescent="0.3">
      <c r="A707" s="3" t="s">
        <v>2219</v>
      </c>
      <c r="B707" s="3" t="s">
        <v>394</v>
      </c>
      <c r="C707" s="3" t="s">
        <v>26</v>
      </c>
      <c r="D707" s="3" t="s">
        <v>95</v>
      </c>
      <c r="E707" s="3" t="s">
        <v>22</v>
      </c>
      <c r="F707" s="3" t="s">
        <v>2220</v>
      </c>
      <c r="G707" s="3" t="s">
        <v>3817</v>
      </c>
      <c r="H707" s="7">
        <v>44792</v>
      </c>
      <c r="I707" s="6">
        <v>65548.47</v>
      </c>
      <c r="J707" s="6">
        <v>11798.74</v>
      </c>
      <c r="K707" s="4">
        <v>48192090</v>
      </c>
      <c r="L707" s="3" t="s">
        <v>97</v>
      </c>
      <c r="M707" s="3" t="s">
        <v>36</v>
      </c>
      <c r="N707" s="5">
        <f t="shared" ref="N707:N770" si="11">J707*100/I707</f>
        <v>18.000023494064774</v>
      </c>
    </row>
    <row r="708" spans="1:14" ht="14.4" x14ac:dyDescent="0.3">
      <c r="A708" s="3" t="s">
        <v>2221</v>
      </c>
      <c r="B708" s="3" t="s">
        <v>49</v>
      </c>
      <c r="C708" s="3" t="s">
        <v>20</v>
      </c>
      <c r="D708" s="3" t="s">
        <v>50</v>
      </c>
      <c r="E708" s="3" t="s">
        <v>22</v>
      </c>
      <c r="F708" s="3" t="s">
        <v>2222</v>
      </c>
      <c r="G708" s="3" t="s">
        <v>3818</v>
      </c>
      <c r="H708" s="7">
        <v>44791</v>
      </c>
      <c r="I708" s="6">
        <v>96193.7</v>
      </c>
      <c r="J708" s="6">
        <v>17314.86</v>
      </c>
      <c r="K708" s="4">
        <v>48192020</v>
      </c>
      <c r="L708" s="3" t="s">
        <v>52</v>
      </c>
      <c r="M708" s="3" t="s">
        <v>280</v>
      </c>
      <c r="N708" s="5">
        <f t="shared" si="11"/>
        <v>17.999993762585284</v>
      </c>
    </row>
    <row r="709" spans="1:14" ht="14.4" x14ac:dyDescent="0.3">
      <c r="A709" s="3" t="s">
        <v>2223</v>
      </c>
      <c r="B709" s="3" t="s">
        <v>145</v>
      </c>
      <c r="C709" s="3" t="s">
        <v>20</v>
      </c>
      <c r="D709" s="3" t="s">
        <v>762</v>
      </c>
      <c r="E709" s="3" t="s">
        <v>22</v>
      </c>
      <c r="F709" s="3" t="s">
        <v>2224</v>
      </c>
      <c r="G709" s="3" t="s">
        <v>3819</v>
      </c>
      <c r="H709" s="7">
        <v>44791</v>
      </c>
      <c r="I709" s="6">
        <v>125250</v>
      </c>
      <c r="J709" s="6">
        <v>15030</v>
      </c>
      <c r="K709" s="4">
        <v>11081200</v>
      </c>
      <c r="L709" s="3"/>
      <c r="M709" s="3" t="s">
        <v>2225</v>
      </c>
      <c r="N709" s="5">
        <f t="shared" si="11"/>
        <v>12</v>
      </c>
    </row>
    <row r="710" spans="1:14" ht="14.4" x14ac:dyDescent="0.3">
      <c r="A710" s="3" t="s">
        <v>2226</v>
      </c>
      <c r="B710" s="3" t="s">
        <v>462</v>
      </c>
      <c r="C710" s="3" t="s">
        <v>20</v>
      </c>
      <c r="D710" s="3" t="s">
        <v>50</v>
      </c>
      <c r="E710" s="3" t="s">
        <v>22</v>
      </c>
      <c r="F710" s="3" t="s">
        <v>2227</v>
      </c>
      <c r="G710" s="3" t="s">
        <v>3820</v>
      </c>
      <c r="H710" s="7">
        <v>44790</v>
      </c>
      <c r="I710" s="6">
        <v>42616</v>
      </c>
      <c r="J710" s="6">
        <v>7670.88</v>
      </c>
      <c r="K710" s="4">
        <v>7607</v>
      </c>
      <c r="L710" s="3" t="s">
        <v>464</v>
      </c>
      <c r="M710" s="3" t="s">
        <v>36</v>
      </c>
      <c r="N710" s="5">
        <f t="shared" si="11"/>
        <v>18</v>
      </c>
    </row>
    <row r="711" spans="1:14" ht="14.4" x14ac:dyDescent="0.3">
      <c r="A711" s="3" t="s">
        <v>2228</v>
      </c>
      <c r="B711" s="3" t="s">
        <v>182</v>
      </c>
      <c r="C711" s="3" t="s">
        <v>20</v>
      </c>
      <c r="D711" s="3" t="s">
        <v>167</v>
      </c>
      <c r="E711" s="3" t="s">
        <v>22</v>
      </c>
      <c r="F711" s="3" t="s">
        <v>2229</v>
      </c>
      <c r="G711" s="3" t="s">
        <v>3821</v>
      </c>
      <c r="H711" s="7">
        <v>44790</v>
      </c>
      <c r="I711" s="6">
        <v>110400</v>
      </c>
      <c r="J711" s="6">
        <v>19872</v>
      </c>
      <c r="K711" s="4">
        <v>29051220</v>
      </c>
      <c r="L711" s="3" t="s">
        <v>628</v>
      </c>
      <c r="M711" s="3" t="s">
        <v>36</v>
      </c>
      <c r="N711" s="5">
        <f t="shared" si="11"/>
        <v>18</v>
      </c>
    </row>
    <row r="712" spans="1:14" ht="14.4" x14ac:dyDescent="0.3">
      <c r="A712" s="3" t="s">
        <v>2230</v>
      </c>
      <c r="B712" s="3" t="s">
        <v>182</v>
      </c>
      <c r="C712" s="3" t="s">
        <v>20</v>
      </c>
      <c r="D712" s="3" t="s">
        <v>167</v>
      </c>
      <c r="E712" s="3" t="s">
        <v>22</v>
      </c>
      <c r="F712" s="3" t="s">
        <v>2231</v>
      </c>
      <c r="G712" s="3" t="s">
        <v>3822</v>
      </c>
      <c r="H712" s="7">
        <v>44789</v>
      </c>
      <c r="I712" s="6">
        <v>10500</v>
      </c>
      <c r="J712" s="6">
        <v>525</v>
      </c>
      <c r="K712" s="4">
        <v>25262000</v>
      </c>
      <c r="L712" s="3" t="s">
        <v>2232</v>
      </c>
      <c r="M712" s="3" t="s">
        <v>59</v>
      </c>
      <c r="N712" s="5">
        <f t="shared" si="11"/>
        <v>5</v>
      </c>
    </row>
    <row r="713" spans="1:14" ht="14.4" x14ac:dyDescent="0.3">
      <c r="A713" s="3" t="s">
        <v>2233</v>
      </c>
      <c r="B713" s="3" t="s">
        <v>182</v>
      </c>
      <c r="C713" s="3" t="s">
        <v>20</v>
      </c>
      <c r="D713" s="3" t="s">
        <v>167</v>
      </c>
      <c r="E713" s="3" t="s">
        <v>22</v>
      </c>
      <c r="F713" s="3" t="s">
        <v>2234</v>
      </c>
      <c r="G713" s="3" t="s">
        <v>3823</v>
      </c>
      <c r="H713" s="7">
        <v>44789</v>
      </c>
      <c r="I713" s="6">
        <v>37500</v>
      </c>
      <c r="J713" s="6">
        <v>6750</v>
      </c>
      <c r="K713" s="4">
        <v>29242990</v>
      </c>
      <c r="L713" s="3" t="s">
        <v>184</v>
      </c>
      <c r="M713" s="3" t="s">
        <v>59</v>
      </c>
      <c r="N713" s="5">
        <f t="shared" si="11"/>
        <v>18</v>
      </c>
    </row>
    <row r="714" spans="1:14" ht="14.4" x14ac:dyDescent="0.3">
      <c r="A714" s="3" t="s">
        <v>2235</v>
      </c>
      <c r="B714" s="3" t="s">
        <v>186</v>
      </c>
      <c r="C714" s="3" t="s">
        <v>187</v>
      </c>
      <c r="D714" s="3" t="s">
        <v>39</v>
      </c>
      <c r="E714" s="3" t="s">
        <v>188</v>
      </c>
      <c r="F714" s="3" t="s">
        <v>2236</v>
      </c>
      <c r="G714" s="3" t="s">
        <v>3824</v>
      </c>
      <c r="H714" s="7">
        <v>44789</v>
      </c>
      <c r="I714" s="6">
        <v>79044</v>
      </c>
      <c r="J714" s="6">
        <v>14227.92</v>
      </c>
      <c r="K714" s="4">
        <v>39233090</v>
      </c>
      <c r="L714" s="3" t="s">
        <v>1083</v>
      </c>
      <c r="M714" s="3" t="s">
        <v>59</v>
      </c>
      <c r="N714" s="5">
        <f t="shared" si="11"/>
        <v>18</v>
      </c>
    </row>
    <row r="715" spans="1:14" ht="14.4" x14ac:dyDescent="0.3">
      <c r="A715" s="3" t="s">
        <v>2237</v>
      </c>
      <c r="B715" s="3" t="s">
        <v>394</v>
      </c>
      <c r="C715" s="3" t="s">
        <v>26</v>
      </c>
      <c r="D715" s="3" t="s">
        <v>95</v>
      </c>
      <c r="E715" s="3" t="s">
        <v>22</v>
      </c>
      <c r="F715" s="3" t="s">
        <v>2238</v>
      </c>
      <c r="G715" s="3" t="s">
        <v>3825</v>
      </c>
      <c r="H715" s="7">
        <v>44785</v>
      </c>
      <c r="I715" s="6">
        <v>60925.88</v>
      </c>
      <c r="J715" s="6">
        <v>10966.64</v>
      </c>
      <c r="K715" s="4">
        <v>48192090</v>
      </c>
      <c r="L715" s="3" t="s">
        <v>97</v>
      </c>
      <c r="M715" s="3" t="s">
        <v>98</v>
      </c>
      <c r="N715" s="5">
        <f t="shared" si="11"/>
        <v>17.999969799369332</v>
      </c>
    </row>
    <row r="716" spans="1:14" ht="14.4" x14ac:dyDescent="0.3">
      <c r="A716" s="3" t="s">
        <v>2239</v>
      </c>
      <c r="B716" s="3" t="s">
        <v>409</v>
      </c>
      <c r="C716" s="3" t="s">
        <v>20</v>
      </c>
      <c r="D716" s="3" t="s">
        <v>410</v>
      </c>
      <c r="E716" s="3" t="s">
        <v>22</v>
      </c>
      <c r="F716" s="3" t="s">
        <v>2240</v>
      </c>
      <c r="G716" s="3">
        <v>643</v>
      </c>
      <c r="H716" s="7">
        <v>44783</v>
      </c>
      <c r="I716" s="6">
        <v>145000</v>
      </c>
      <c r="J716" s="6">
        <v>26100</v>
      </c>
      <c r="K716" s="4">
        <v>32050000</v>
      </c>
      <c r="L716" s="3" t="s">
        <v>412</v>
      </c>
      <c r="M716" s="3" t="s">
        <v>549</v>
      </c>
      <c r="N716" s="5">
        <f t="shared" si="11"/>
        <v>18</v>
      </c>
    </row>
    <row r="717" spans="1:14" ht="14.4" x14ac:dyDescent="0.3">
      <c r="A717" s="3" t="s">
        <v>2241</v>
      </c>
      <c r="B717" s="3" t="s">
        <v>133</v>
      </c>
      <c r="C717" s="3" t="s">
        <v>134</v>
      </c>
      <c r="D717" s="3" t="s">
        <v>1044</v>
      </c>
      <c r="E717" s="3" t="s">
        <v>136</v>
      </c>
      <c r="F717" s="3" t="s">
        <v>2242</v>
      </c>
      <c r="G717" s="3" t="s">
        <v>3826</v>
      </c>
      <c r="H717" s="7">
        <v>44782</v>
      </c>
      <c r="I717" s="6">
        <v>172000</v>
      </c>
      <c r="J717" s="6">
        <v>8600</v>
      </c>
      <c r="K717" s="4">
        <v>17011490</v>
      </c>
      <c r="L717" s="3" t="s">
        <v>138</v>
      </c>
      <c r="M717" s="3" t="s">
        <v>2243</v>
      </c>
      <c r="N717" s="5">
        <f t="shared" si="11"/>
        <v>5</v>
      </c>
    </row>
    <row r="718" spans="1:14" ht="14.4" x14ac:dyDescent="0.3">
      <c r="A718" s="3" t="s">
        <v>2244</v>
      </c>
      <c r="B718" s="3" t="s">
        <v>25</v>
      </c>
      <c r="C718" s="3" t="s">
        <v>26</v>
      </c>
      <c r="D718" s="3" t="s">
        <v>27</v>
      </c>
      <c r="E718" s="3" t="s">
        <v>28</v>
      </c>
      <c r="F718" s="3" t="s">
        <v>2245</v>
      </c>
      <c r="G718" s="3" t="s">
        <v>3827</v>
      </c>
      <c r="H718" s="7">
        <v>44782</v>
      </c>
      <c r="I718" s="6">
        <v>124999.6</v>
      </c>
      <c r="J718" s="6">
        <v>22500</v>
      </c>
      <c r="K718" s="4">
        <v>29331990</v>
      </c>
      <c r="L718" s="3" t="s">
        <v>1341</v>
      </c>
      <c r="M718" s="3" t="s">
        <v>92</v>
      </c>
      <c r="N718" s="5">
        <f t="shared" si="11"/>
        <v>18.00005760018432</v>
      </c>
    </row>
    <row r="719" spans="1:14" ht="14.4" x14ac:dyDescent="0.3">
      <c r="A719" s="3" t="s">
        <v>2246</v>
      </c>
      <c r="B719" s="3" t="s">
        <v>394</v>
      </c>
      <c r="C719" s="3" t="s">
        <v>26</v>
      </c>
      <c r="D719" s="3" t="s">
        <v>95</v>
      </c>
      <c r="E719" s="3" t="s">
        <v>22</v>
      </c>
      <c r="F719" s="3" t="s">
        <v>2247</v>
      </c>
      <c r="G719" s="3" t="s">
        <v>3828</v>
      </c>
      <c r="H719" s="7">
        <v>44782</v>
      </c>
      <c r="I719" s="6">
        <v>24287.200000000001</v>
      </c>
      <c r="J719" s="6">
        <v>4371.7</v>
      </c>
      <c r="K719" s="4">
        <v>48192090</v>
      </c>
      <c r="L719" s="3" t="s">
        <v>97</v>
      </c>
      <c r="M719" s="3" t="s">
        <v>92</v>
      </c>
      <c r="N719" s="5">
        <f t="shared" si="11"/>
        <v>18.000016469580682</v>
      </c>
    </row>
    <row r="720" spans="1:14" ht="14.4" x14ac:dyDescent="0.3">
      <c r="A720" s="3" t="s">
        <v>2248</v>
      </c>
      <c r="B720" s="3" t="s">
        <v>84</v>
      </c>
      <c r="C720" s="3" t="s">
        <v>20</v>
      </c>
      <c r="D720" s="3" t="s">
        <v>239</v>
      </c>
      <c r="E720" s="3" t="s">
        <v>22</v>
      </c>
      <c r="F720" s="3" t="s">
        <v>2249</v>
      </c>
      <c r="G720" s="3" t="s">
        <v>3829</v>
      </c>
      <c r="H720" s="7">
        <v>44778</v>
      </c>
      <c r="I720" s="6">
        <v>21000</v>
      </c>
      <c r="J720" s="6">
        <v>3780</v>
      </c>
      <c r="K720" s="4">
        <v>3921</v>
      </c>
      <c r="L720" s="3" t="s">
        <v>118</v>
      </c>
      <c r="M720" s="3" t="s">
        <v>2250</v>
      </c>
      <c r="N720" s="5">
        <f t="shared" si="11"/>
        <v>18</v>
      </c>
    </row>
    <row r="721" spans="1:14" ht="14.4" x14ac:dyDescent="0.3">
      <c r="A721" s="3" t="s">
        <v>2251</v>
      </c>
      <c r="B721" s="3" t="s">
        <v>1122</v>
      </c>
      <c r="C721" s="3" t="s">
        <v>1123</v>
      </c>
      <c r="D721" s="3" t="s">
        <v>1124</v>
      </c>
      <c r="E721" s="3" t="s">
        <v>15</v>
      </c>
      <c r="F721" s="3" t="s">
        <v>2252</v>
      </c>
      <c r="G721" s="3" t="s">
        <v>3830</v>
      </c>
      <c r="H721" s="7">
        <v>44782</v>
      </c>
      <c r="I721" s="6">
        <v>174332.4</v>
      </c>
      <c r="J721" s="6">
        <v>31379.84</v>
      </c>
      <c r="K721" s="4">
        <v>39232100</v>
      </c>
      <c r="L721" s="3" t="s">
        <v>1126</v>
      </c>
      <c r="M721" s="3" t="s">
        <v>2253</v>
      </c>
      <c r="N721" s="5">
        <f t="shared" si="11"/>
        <v>18.000004588934701</v>
      </c>
    </row>
    <row r="722" spans="1:14" ht="14.4" x14ac:dyDescent="0.3">
      <c r="A722" s="3" t="s">
        <v>2254</v>
      </c>
      <c r="B722" s="3" t="s">
        <v>178</v>
      </c>
      <c r="C722" s="3" t="s">
        <v>20</v>
      </c>
      <c r="D722" s="3" t="s">
        <v>50</v>
      </c>
      <c r="E722" s="3" t="s">
        <v>22</v>
      </c>
      <c r="F722" s="3" t="s">
        <v>2255</v>
      </c>
      <c r="G722" s="3" t="s">
        <v>3831</v>
      </c>
      <c r="H722" s="7">
        <v>44781</v>
      </c>
      <c r="I722" s="6">
        <v>91154.5</v>
      </c>
      <c r="J722" s="6">
        <v>16407.8</v>
      </c>
      <c r="K722" s="4">
        <v>76071995</v>
      </c>
      <c r="L722" s="3" t="s">
        <v>180</v>
      </c>
      <c r="M722" s="3" t="s">
        <v>675</v>
      </c>
      <c r="N722" s="5">
        <f t="shared" si="11"/>
        <v>17.999989029614557</v>
      </c>
    </row>
    <row r="723" spans="1:14" ht="14.4" x14ac:dyDescent="0.3">
      <c r="A723" s="3" t="s">
        <v>2256</v>
      </c>
      <c r="B723" s="3" t="s">
        <v>55</v>
      </c>
      <c r="C723" s="3" t="s">
        <v>56</v>
      </c>
      <c r="D723" s="3" t="s">
        <v>57</v>
      </c>
      <c r="E723" s="3" t="s">
        <v>22</v>
      </c>
      <c r="F723" s="3" t="s">
        <v>2257</v>
      </c>
      <c r="G723" s="3" t="s">
        <v>3832</v>
      </c>
      <c r="H723" s="7">
        <v>44779</v>
      </c>
      <c r="I723" s="6">
        <v>76470</v>
      </c>
      <c r="J723" s="6">
        <v>13764.6</v>
      </c>
      <c r="K723" s="4">
        <v>29333990</v>
      </c>
      <c r="L723" s="3"/>
      <c r="M723" s="3" t="s">
        <v>98</v>
      </c>
      <c r="N723" s="5">
        <f t="shared" si="11"/>
        <v>18</v>
      </c>
    </row>
    <row r="724" spans="1:14" ht="14.4" x14ac:dyDescent="0.3">
      <c r="A724" s="3" t="s">
        <v>2258</v>
      </c>
      <c r="B724" s="3" t="s">
        <v>1273</v>
      </c>
      <c r="C724" s="3" t="s">
        <v>20</v>
      </c>
      <c r="D724" s="3" t="s">
        <v>156</v>
      </c>
      <c r="E724" s="3" t="s">
        <v>22</v>
      </c>
      <c r="F724" s="3" t="s">
        <v>2259</v>
      </c>
      <c r="G724" s="3" t="s">
        <v>3833</v>
      </c>
      <c r="H724" s="7">
        <v>44779</v>
      </c>
      <c r="I724" s="6">
        <v>44612.95</v>
      </c>
      <c r="J724" s="6">
        <v>8030.34</v>
      </c>
      <c r="K724" s="4">
        <v>4819</v>
      </c>
      <c r="L724" s="3"/>
      <c r="M724" s="3" t="s">
        <v>1576</v>
      </c>
      <c r="N724" s="5">
        <f t="shared" si="11"/>
        <v>18.000020173514642</v>
      </c>
    </row>
    <row r="725" spans="1:14" ht="14.4" x14ac:dyDescent="0.3">
      <c r="A725" s="3" t="s">
        <v>2260</v>
      </c>
      <c r="B725" s="3" t="s">
        <v>89</v>
      </c>
      <c r="C725" s="3" t="s">
        <v>20</v>
      </c>
      <c r="D725" s="3" t="s">
        <v>50</v>
      </c>
      <c r="E725" s="3" t="s">
        <v>22</v>
      </c>
      <c r="F725" s="3" t="s">
        <v>2261</v>
      </c>
      <c r="G725" s="3">
        <v>476</v>
      </c>
      <c r="H725" s="7">
        <v>44779</v>
      </c>
      <c r="I725" s="6">
        <v>8800</v>
      </c>
      <c r="J725" s="6">
        <v>1584</v>
      </c>
      <c r="K725" s="4">
        <v>84425010</v>
      </c>
      <c r="L725" s="3" t="s">
        <v>91</v>
      </c>
      <c r="M725" s="3" t="s">
        <v>195</v>
      </c>
      <c r="N725" s="5">
        <f t="shared" si="11"/>
        <v>18</v>
      </c>
    </row>
    <row r="726" spans="1:14" ht="14.4" x14ac:dyDescent="0.3">
      <c r="A726" s="3" t="s">
        <v>2262</v>
      </c>
      <c r="B726" s="3" t="s">
        <v>89</v>
      </c>
      <c r="C726" s="3" t="s">
        <v>20</v>
      </c>
      <c r="D726" s="3" t="s">
        <v>50</v>
      </c>
      <c r="E726" s="3" t="s">
        <v>22</v>
      </c>
      <c r="F726" s="3" t="s">
        <v>2263</v>
      </c>
      <c r="G726" s="3">
        <v>475</v>
      </c>
      <c r="H726" s="7">
        <v>44779</v>
      </c>
      <c r="I726" s="6">
        <v>81339.5</v>
      </c>
      <c r="J726" s="6">
        <v>14641.12</v>
      </c>
      <c r="K726" s="4">
        <v>76071994</v>
      </c>
      <c r="L726" s="3" t="s">
        <v>744</v>
      </c>
      <c r="M726" s="3" t="s">
        <v>98</v>
      </c>
      <c r="N726" s="5">
        <f t="shared" si="11"/>
        <v>18.00001229414983</v>
      </c>
    </row>
    <row r="727" spans="1:14" ht="14.4" x14ac:dyDescent="0.3">
      <c r="A727" s="3" t="s">
        <v>2264</v>
      </c>
      <c r="B727" s="3" t="s">
        <v>1354</v>
      </c>
      <c r="C727" s="3" t="s">
        <v>20</v>
      </c>
      <c r="D727" s="3" t="s">
        <v>50</v>
      </c>
      <c r="E727" s="3" t="s">
        <v>22</v>
      </c>
      <c r="F727" s="3" t="s">
        <v>2265</v>
      </c>
      <c r="G727" s="3">
        <v>298</v>
      </c>
      <c r="H727" s="7">
        <v>44779</v>
      </c>
      <c r="I727" s="6">
        <v>155000</v>
      </c>
      <c r="J727" s="6">
        <v>27900</v>
      </c>
      <c r="K727" s="4">
        <v>39129090</v>
      </c>
      <c r="L727" s="3"/>
      <c r="M727" s="3" t="s">
        <v>2266</v>
      </c>
      <c r="N727" s="5">
        <f t="shared" si="11"/>
        <v>18</v>
      </c>
    </row>
    <row r="728" spans="1:14" ht="14.4" x14ac:dyDescent="0.3">
      <c r="A728" s="3" t="s">
        <v>2267</v>
      </c>
      <c r="B728" s="3" t="s">
        <v>202</v>
      </c>
      <c r="C728" s="3" t="s">
        <v>134</v>
      </c>
      <c r="D728" s="3" t="s">
        <v>203</v>
      </c>
      <c r="E728" s="3" t="s">
        <v>204</v>
      </c>
      <c r="F728" s="3" t="s">
        <v>2268</v>
      </c>
      <c r="G728" s="3" t="s">
        <v>3834</v>
      </c>
      <c r="H728" s="7">
        <v>44779</v>
      </c>
      <c r="I728" s="6">
        <v>277849.59999999998</v>
      </c>
      <c r="J728" s="6">
        <v>50012.93</v>
      </c>
      <c r="K728" s="4">
        <v>76071994</v>
      </c>
      <c r="L728" s="3" t="s">
        <v>206</v>
      </c>
      <c r="M728" s="3"/>
      <c r="N728" s="5">
        <f t="shared" si="11"/>
        <v>18.000000719813887</v>
      </c>
    </row>
    <row r="729" spans="1:14" ht="14.4" x14ac:dyDescent="0.3">
      <c r="A729" s="3" t="s">
        <v>2269</v>
      </c>
      <c r="B729" s="3" t="s">
        <v>1325</v>
      </c>
      <c r="C729" s="3" t="s">
        <v>20</v>
      </c>
      <c r="D729" s="3" t="s">
        <v>1132</v>
      </c>
      <c r="E729" s="3" t="s">
        <v>22</v>
      </c>
      <c r="F729" s="3" t="s">
        <v>2270</v>
      </c>
      <c r="G729" s="3" t="s">
        <v>3835</v>
      </c>
      <c r="H729" s="7">
        <v>44778</v>
      </c>
      <c r="I729" s="6">
        <v>330330</v>
      </c>
      <c r="J729" s="6">
        <v>59459.4</v>
      </c>
      <c r="K729" s="4">
        <v>29333990</v>
      </c>
      <c r="L729" s="3" t="s">
        <v>2271</v>
      </c>
      <c r="M729" s="3" t="s">
        <v>549</v>
      </c>
      <c r="N729" s="5">
        <f t="shared" si="11"/>
        <v>18</v>
      </c>
    </row>
    <row r="730" spans="1:14" ht="14.4" x14ac:dyDescent="0.3">
      <c r="A730" s="3" t="s">
        <v>2272</v>
      </c>
      <c r="B730" s="3" t="s">
        <v>182</v>
      </c>
      <c r="C730" s="3" t="s">
        <v>20</v>
      </c>
      <c r="D730" s="3" t="s">
        <v>167</v>
      </c>
      <c r="E730" s="3" t="s">
        <v>22</v>
      </c>
      <c r="F730" s="3" t="s">
        <v>2273</v>
      </c>
      <c r="G730" s="3" t="s">
        <v>3836</v>
      </c>
      <c r="H730" s="7">
        <v>44776</v>
      </c>
      <c r="I730" s="6">
        <v>116690</v>
      </c>
      <c r="J730" s="6">
        <v>21004.2</v>
      </c>
      <c r="K730" s="4">
        <v>29053200</v>
      </c>
      <c r="L730" s="3" t="s">
        <v>2274</v>
      </c>
      <c r="M730" s="3" t="s">
        <v>36</v>
      </c>
      <c r="N730" s="5">
        <f t="shared" si="11"/>
        <v>18</v>
      </c>
    </row>
    <row r="731" spans="1:14" ht="14.4" x14ac:dyDescent="0.3">
      <c r="A731" s="3" t="s">
        <v>2275</v>
      </c>
      <c r="B731" s="3" t="s">
        <v>202</v>
      </c>
      <c r="C731" s="3" t="s">
        <v>134</v>
      </c>
      <c r="D731" s="3" t="s">
        <v>203</v>
      </c>
      <c r="E731" s="3" t="s">
        <v>204</v>
      </c>
      <c r="F731" s="3" t="s">
        <v>2276</v>
      </c>
      <c r="G731" s="3" t="s">
        <v>3837</v>
      </c>
      <c r="H731" s="7">
        <v>44777</v>
      </c>
      <c r="I731" s="6">
        <v>769833.12</v>
      </c>
      <c r="J731" s="6">
        <v>138569.96</v>
      </c>
      <c r="K731" s="4">
        <v>76071994</v>
      </c>
      <c r="L731" s="3" t="s">
        <v>206</v>
      </c>
      <c r="M731" s="3"/>
      <c r="N731" s="5">
        <f t="shared" si="11"/>
        <v>17.999999792162747</v>
      </c>
    </row>
    <row r="732" spans="1:14" ht="14.4" x14ac:dyDescent="0.3">
      <c r="A732" s="3" t="s">
        <v>2277</v>
      </c>
      <c r="B732" s="3" t="s">
        <v>161</v>
      </c>
      <c r="C732" s="3" t="s">
        <v>56</v>
      </c>
      <c r="D732" s="3" t="s">
        <v>57</v>
      </c>
      <c r="E732" s="3" t="s">
        <v>162</v>
      </c>
      <c r="F732" s="3" t="s">
        <v>2278</v>
      </c>
      <c r="G732" s="3" t="s">
        <v>3838</v>
      </c>
      <c r="H732" s="7">
        <v>44775</v>
      </c>
      <c r="I732" s="6">
        <v>70035</v>
      </c>
      <c r="J732" s="6">
        <v>12606.3</v>
      </c>
      <c r="K732" s="4">
        <v>29419090</v>
      </c>
      <c r="L732" s="3" t="s">
        <v>2279</v>
      </c>
      <c r="M732" s="3" t="s">
        <v>2280</v>
      </c>
      <c r="N732" s="5">
        <f t="shared" si="11"/>
        <v>18</v>
      </c>
    </row>
    <row r="733" spans="1:14" ht="14.4" x14ac:dyDescent="0.3">
      <c r="A733" s="3" t="s">
        <v>2281</v>
      </c>
      <c r="B733" s="3" t="s">
        <v>2282</v>
      </c>
      <c r="C733" s="3" t="s">
        <v>20</v>
      </c>
      <c r="D733" s="3" t="s">
        <v>50</v>
      </c>
      <c r="E733" s="3" t="s">
        <v>22</v>
      </c>
      <c r="F733" s="3" t="s">
        <v>2283</v>
      </c>
      <c r="G733" s="3" t="s">
        <v>3839</v>
      </c>
      <c r="H733" s="7">
        <v>44775</v>
      </c>
      <c r="I733" s="6">
        <v>27000</v>
      </c>
      <c r="J733" s="6">
        <v>4860</v>
      </c>
      <c r="K733" s="4">
        <v>83099010</v>
      </c>
      <c r="L733" s="3" t="s">
        <v>2284</v>
      </c>
      <c r="M733" s="3" t="s">
        <v>195</v>
      </c>
      <c r="N733" s="5">
        <f t="shared" si="11"/>
        <v>18</v>
      </c>
    </row>
    <row r="734" spans="1:14" ht="14.4" x14ac:dyDescent="0.3">
      <c r="A734" s="3" t="s">
        <v>2285</v>
      </c>
      <c r="B734" s="3" t="s">
        <v>394</v>
      </c>
      <c r="C734" s="3" t="s">
        <v>26</v>
      </c>
      <c r="D734" s="3" t="s">
        <v>95</v>
      </c>
      <c r="E734" s="3" t="s">
        <v>22</v>
      </c>
      <c r="F734" s="3" t="s">
        <v>2286</v>
      </c>
      <c r="G734" s="3" t="s">
        <v>3840</v>
      </c>
      <c r="H734" s="7">
        <v>44775</v>
      </c>
      <c r="I734" s="6">
        <v>54959</v>
      </c>
      <c r="J734" s="6">
        <v>9892.6200000000008</v>
      </c>
      <c r="K734" s="4">
        <v>48192090</v>
      </c>
      <c r="L734" s="3" t="s">
        <v>97</v>
      </c>
      <c r="M734" s="3" t="s">
        <v>98</v>
      </c>
      <c r="N734" s="5">
        <f t="shared" si="11"/>
        <v>18.000000000000004</v>
      </c>
    </row>
    <row r="735" spans="1:14" ht="14.4" x14ac:dyDescent="0.3">
      <c r="A735" s="3" t="s">
        <v>2287</v>
      </c>
      <c r="B735" s="3" t="s">
        <v>182</v>
      </c>
      <c r="C735" s="3" t="s">
        <v>20</v>
      </c>
      <c r="D735" s="3" t="s">
        <v>167</v>
      </c>
      <c r="E735" s="3" t="s">
        <v>22</v>
      </c>
      <c r="F735" s="3" t="s">
        <v>2288</v>
      </c>
      <c r="G735" s="3" t="s">
        <v>3841</v>
      </c>
      <c r="H735" s="7">
        <v>44774</v>
      </c>
      <c r="I735" s="6">
        <v>117900</v>
      </c>
      <c r="J735" s="6">
        <v>21222</v>
      </c>
      <c r="K735" s="4">
        <v>39059990</v>
      </c>
      <c r="L735" s="3" t="s">
        <v>2289</v>
      </c>
      <c r="M735" s="3" t="s">
        <v>36</v>
      </c>
      <c r="N735" s="5">
        <f t="shared" si="11"/>
        <v>18</v>
      </c>
    </row>
    <row r="736" spans="1:14" ht="14.4" x14ac:dyDescent="0.3">
      <c r="A736" s="3" t="s">
        <v>2290</v>
      </c>
      <c r="B736" s="3" t="s">
        <v>542</v>
      </c>
      <c r="C736" s="3" t="s">
        <v>20</v>
      </c>
      <c r="D736" s="3" t="s">
        <v>2291</v>
      </c>
      <c r="E736" s="3" t="s">
        <v>22</v>
      </c>
      <c r="F736" s="3" t="s">
        <v>2292</v>
      </c>
      <c r="G736" s="3">
        <v>21</v>
      </c>
      <c r="H736" s="7">
        <v>44782</v>
      </c>
      <c r="I736" s="6">
        <v>75000</v>
      </c>
      <c r="J736" s="6">
        <v>13500</v>
      </c>
      <c r="K736" s="4">
        <v>28365000</v>
      </c>
      <c r="L736" s="3"/>
      <c r="M736" s="3" t="s">
        <v>964</v>
      </c>
      <c r="N736" s="5">
        <f t="shared" si="11"/>
        <v>18</v>
      </c>
    </row>
    <row r="737" spans="1:14" ht="14.4" x14ac:dyDescent="0.3">
      <c r="A737" s="3" t="s">
        <v>2293</v>
      </c>
      <c r="B737" s="3" t="s">
        <v>2294</v>
      </c>
      <c r="C737" s="3" t="s">
        <v>20</v>
      </c>
      <c r="D737" s="3" t="s">
        <v>2295</v>
      </c>
      <c r="E737" s="3" t="s">
        <v>22</v>
      </c>
      <c r="F737" s="3" t="s">
        <v>2296</v>
      </c>
      <c r="G737" s="3" t="s">
        <v>3842</v>
      </c>
      <c r="H737" s="7">
        <v>44783</v>
      </c>
      <c r="I737" s="6">
        <v>464285.71</v>
      </c>
      <c r="J737" s="6">
        <v>23214.29</v>
      </c>
      <c r="K737" s="4">
        <v>17049010</v>
      </c>
      <c r="L737" s="3" t="s">
        <v>2297</v>
      </c>
      <c r="M737" s="3" t="s">
        <v>2298</v>
      </c>
      <c r="N737" s="5">
        <f t="shared" si="11"/>
        <v>5.0000009692307783</v>
      </c>
    </row>
    <row r="738" spans="1:14" ht="14.4" x14ac:dyDescent="0.3">
      <c r="A738" s="3" t="s">
        <v>2299</v>
      </c>
      <c r="B738" s="3" t="s">
        <v>2300</v>
      </c>
      <c r="C738" s="3" t="s">
        <v>20</v>
      </c>
      <c r="D738" s="3" t="s">
        <v>2301</v>
      </c>
      <c r="E738" s="3" t="s">
        <v>22</v>
      </c>
      <c r="F738" s="3" t="s">
        <v>2302</v>
      </c>
      <c r="G738" s="3">
        <v>51</v>
      </c>
      <c r="H738" s="7">
        <v>44786</v>
      </c>
      <c r="I738" s="6">
        <v>162794.1</v>
      </c>
      <c r="J738" s="6">
        <v>29302.94</v>
      </c>
      <c r="K738" s="4">
        <v>8544</v>
      </c>
      <c r="L738" s="3" t="s">
        <v>2303</v>
      </c>
      <c r="M738" s="3" t="s">
        <v>2304</v>
      </c>
      <c r="N738" s="5">
        <f t="shared" si="11"/>
        <v>18.000001228545752</v>
      </c>
    </row>
    <row r="739" spans="1:14" ht="14.4" x14ac:dyDescent="0.3">
      <c r="A739" s="3" t="s">
        <v>2305</v>
      </c>
      <c r="B739" s="3" t="s">
        <v>957</v>
      </c>
      <c r="C739" s="3" t="s">
        <v>134</v>
      </c>
      <c r="D739" s="3" t="s">
        <v>958</v>
      </c>
      <c r="E739" s="3" t="s">
        <v>396</v>
      </c>
      <c r="F739" s="3" t="s">
        <v>2306</v>
      </c>
      <c r="G739" s="3">
        <v>115</v>
      </c>
      <c r="H739" s="7">
        <v>44789</v>
      </c>
      <c r="I739" s="6">
        <v>79545.3</v>
      </c>
      <c r="J739" s="6">
        <v>14318.15</v>
      </c>
      <c r="K739" s="4">
        <v>4821</v>
      </c>
      <c r="L739" s="3" t="s">
        <v>960</v>
      </c>
      <c r="M739" s="3" t="s">
        <v>59</v>
      </c>
      <c r="N739" s="5">
        <f t="shared" si="11"/>
        <v>17.999994971418801</v>
      </c>
    </row>
    <row r="740" spans="1:14" ht="14.4" x14ac:dyDescent="0.3">
      <c r="A740" s="3" t="s">
        <v>2307</v>
      </c>
      <c r="B740" s="3" t="s">
        <v>957</v>
      </c>
      <c r="C740" s="3" t="s">
        <v>134</v>
      </c>
      <c r="D740" s="3" t="s">
        <v>958</v>
      </c>
      <c r="E740" s="3" t="s">
        <v>396</v>
      </c>
      <c r="F740" s="3" t="s">
        <v>2308</v>
      </c>
      <c r="G740" s="3">
        <v>120</v>
      </c>
      <c r="H740" s="7">
        <v>44799</v>
      </c>
      <c r="I740" s="6">
        <v>105019.05</v>
      </c>
      <c r="J740" s="6">
        <v>18903.43</v>
      </c>
      <c r="K740" s="4">
        <v>4821</v>
      </c>
      <c r="L740" s="3" t="s">
        <v>960</v>
      </c>
      <c r="M740" s="3" t="s">
        <v>467</v>
      </c>
      <c r="N740" s="5">
        <f t="shared" si="11"/>
        <v>18.000000952208193</v>
      </c>
    </row>
    <row r="741" spans="1:14" ht="14.4" x14ac:dyDescent="0.3">
      <c r="A741" s="3" t="s">
        <v>2309</v>
      </c>
      <c r="B741" s="3" t="s">
        <v>905</v>
      </c>
      <c r="C741" s="3" t="s">
        <v>672</v>
      </c>
      <c r="D741" s="3" t="s">
        <v>906</v>
      </c>
      <c r="E741" s="3" t="s">
        <v>80</v>
      </c>
      <c r="F741" s="3" t="s">
        <v>2310</v>
      </c>
      <c r="G741" s="3">
        <v>1976</v>
      </c>
      <c r="H741" s="7">
        <v>44796</v>
      </c>
      <c r="I741" s="6">
        <v>219883.68</v>
      </c>
      <c r="J741" s="6"/>
      <c r="K741" s="4">
        <v>39204900</v>
      </c>
      <c r="L741" s="3" t="s">
        <v>2311</v>
      </c>
      <c r="M741" s="3" t="s">
        <v>2312</v>
      </c>
      <c r="N741" s="5">
        <f t="shared" si="11"/>
        <v>0</v>
      </c>
    </row>
    <row r="742" spans="1:14" ht="14.4" x14ac:dyDescent="0.3">
      <c r="A742" s="3" t="s">
        <v>2313</v>
      </c>
      <c r="B742" s="3" t="s">
        <v>2314</v>
      </c>
      <c r="C742" s="3" t="s">
        <v>134</v>
      </c>
      <c r="D742" s="3" t="s">
        <v>2315</v>
      </c>
      <c r="E742" s="3" t="s">
        <v>22</v>
      </c>
      <c r="F742" s="3" t="s">
        <v>2316</v>
      </c>
      <c r="G742" s="3" t="s">
        <v>3843</v>
      </c>
      <c r="H742" s="7">
        <v>44783</v>
      </c>
      <c r="I742" s="6">
        <v>245269.5</v>
      </c>
      <c r="J742" s="6">
        <v>44148.51</v>
      </c>
      <c r="K742" s="4">
        <v>39123100</v>
      </c>
      <c r="L742" s="3" t="s">
        <v>2317</v>
      </c>
      <c r="M742" s="3"/>
      <c r="N742" s="5">
        <f t="shared" si="11"/>
        <v>18</v>
      </c>
    </row>
    <row r="743" spans="1:14" ht="14.4" x14ac:dyDescent="0.3">
      <c r="A743" s="3" t="s">
        <v>2318</v>
      </c>
      <c r="B743" s="3" t="s">
        <v>911</v>
      </c>
      <c r="C743" s="3" t="s">
        <v>912</v>
      </c>
      <c r="D743" s="3" t="s">
        <v>913</v>
      </c>
      <c r="E743" s="3" t="s">
        <v>69</v>
      </c>
      <c r="F743" s="3" t="s">
        <v>2319</v>
      </c>
      <c r="G743" s="3" t="s">
        <v>3844</v>
      </c>
      <c r="H743" s="7">
        <v>44774</v>
      </c>
      <c r="I743" s="6">
        <v>5375</v>
      </c>
      <c r="J743" s="6">
        <v>967.5</v>
      </c>
      <c r="K743" s="4">
        <v>39061090</v>
      </c>
      <c r="L743" s="3" t="s">
        <v>2320</v>
      </c>
      <c r="M743" s="3"/>
      <c r="N743" s="5">
        <f t="shared" si="11"/>
        <v>18</v>
      </c>
    </row>
    <row r="744" spans="1:14" ht="14.4" x14ac:dyDescent="0.3">
      <c r="A744" s="3" t="s">
        <v>2321</v>
      </c>
      <c r="B744" s="3" t="s">
        <v>905</v>
      </c>
      <c r="C744" s="3" t="s">
        <v>672</v>
      </c>
      <c r="D744" s="3" t="s">
        <v>906</v>
      </c>
      <c r="E744" s="3" t="s">
        <v>80</v>
      </c>
      <c r="F744" s="3" t="s">
        <v>2322</v>
      </c>
      <c r="G744" s="3">
        <v>1914</v>
      </c>
      <c r="H744" s="7">
        <v>44791</v>
      </c>
      <c r="I744" s="6">
        <v>566013.1</v>
      </c>
      <c r="J744" s="6"/>
      <c r="K744" s="4">
        <v>39204900</v>
      </c>
      <c r="L744" s="3" t="s">
        <v>2323</v>
      </c>
      <c r="M744" s="3" t="s">
        <v>2324</v>
      </c>
      <c r="N744" s="5">
        <f t="shared" si="11"/>
        <v>0</v>
      </c>
    </row>
    <row r="745" spans="1:14" ht="14.4" x14ac:dyDescent="0.3">
      <c r="A745" s="3" t="s">
        <v>2325</v>
      </c>
      <c r="B745" s="3" t="s">
        <v>911</v>
      </c>
      <c r="C745" s="3" t="s">
        <v>912</v>
      </c>
      <c r="D745" s="3" t="s">
        <v>913</v>
      </c>
      <c r="E745" s="3" t="s">
        <v>69</v>
      </c>
      <c r="F745" s="3" t="s">
        <v>2326</v>
      </c>
      <c r="G745" s="3" t="s">
        <v>3845</v>
      </c>
      <c r="H745" s="7">
        <v>44774</v>
      </c>
      <c r="I745" s="6">
        <v>40000</v>
      </c>
      <c r="J745" s="6">
        <v>7200</v>
      </c>
      <c r="K745" s="4">
        <v>39123929</v>
      </c>
      <c r="L745" s="3" t="s">
        <v>2327</v>
      </c>
      <c r="M745" s="3"/>
      <c r="N745" s="5">
        <f t="shared" si="11"/>
        <v>18</v>
      </c>
    </row>
    <row r="746" spans="1:14" ht="14.4" x14ac:dyDescent="0.3">
      <c r="A746" s="3" t="s">
        <v>2328</v>
      </c>
      <c r="B746" s="3" t="s">
        <v>2329</v>
      </c>
      <c r="C746" s="3" t="s">
        <v>270</v>
      </c>
      <c r="D746" s="3" t="s">
        <v>2330</v>
      </c>
      <c r="E746" s="3" t="s">
        <v>2331</v>
      </c>
      <c r="F746" s="3" t="s">
        <v>2332</v>
      </c>
      <c r="G746" s="3" t="s">
        <v>3846</v>
      </c>
      <c r="H746" s="7">
        <v>44786</v>
      </c>
      <c r="I746" s="6">
        <v>55000</v>
      </c>
      <c r="J746" s="6">
        <v>9900</v>
      </c>
      <c r="K746" s="4">
        <v>29349990</v>
      </c>
      <c r="L746" s="3" t="s">
        <v>2333</v>
      </c>
      <c r="M746" s="3" t="s">
        <v>1615</v>
      </c>
      <c r="N746" s="5">
        <f t="shared" si="11"/>
        <v>18</v>
      </c>
    </row>
    <row r="747" spans="1:14" ht="14.4" x14ac:dyDescent="0.3">
      <c r="A747" s="3" t="s">
        <v>2309</v>
      </c>
      <c r="B747" s="3" t="s">
        <v>905</v>
      </c>
      <c r="C747" s="3" t="s">
        <v>672</v>
      </c>
      <c r="D747" s="3" t="s">
        <v>906</v>
      </c>
      <c r="E747" s="3" t="s">
        <v>80</v>
      </c>
      <c r="F747" s="3" t="s">
        <v>2310</v>
      </c>
      <c r="G747" s="3">
        <v>1976</v>
      </c>
      <c r="H747" s="7">
        <v>44796</v>
      </c>
      <c r="I747" s="6">
        <v>219883.68</v>
      </c>
      <c r="J747" s="6"/>
      <c r="K747" s="4">
        <v>39204900</v>
      </c>
      <c r="L747" s="3" t="s">
        <v>2311</v>
      </c>
      <c r="M747" s="3" t="s">
        <v>2312</v>
      </c>
      <c r="N747" s="5">
        <f t="shared" si="11"/>
        <v>0</v>
      </c>
    </row>
    <row r="748" spans="1:14" ht="14.4" x14ac:dyDescent="0.3">
      <c r="A748" s="3" t="s">
        <v>2313</v>
      </c>
      <c r="B748" s="3" t="s">
        <v>2314</v>
      </c>
      <c r="C748" s="3" t="s">
        <v>134</v>
      </c>
      <c r="D748" s="3" t="s">
        <v>2315</v>
      </c>
      <c r="E748" s="3" t="s">
        <v>22</v>
      </c>
      <c r="F748" s="3" t="s">
        <v>2316</v>
      </c>
      <c r="G748" s="3" t="s">
        <v>3843</v>
      </c>
      <c r="H748" s="7">
        <v>44783</v>
      </c>
      <c r="I748" s="6">
        <v>245269.5</v>
      </c>
      <c r="J748" s="6">
        <v>44148.51</v>
      </c>
      <c r="K748" s="4">
        <v>39123100</v>
      </c>
      <c r="L748" s="3" t="s">
        <v>2317</v>
      </c>
      <c r="M748" s="3"/>
      <c r="N748" s="5">
        <f t="shared" si="11"/>
        <v>18</v>
      </c>
    </row>
    <row r="749" spans="1:14" ht="14.4" x14ac:dyDescent="0.3">
      <c r="A749" s="3" t="s">
        <v>2318</v>
      </c>
      <c r="B749" s="3" t="s">
        <v>911</v>
      </c>
      <c r="C749" s="3" t="s">
        <v>912</v>
      </c>
      <c r="D749" s="3" t="s">
        <v>913</v>
      </c>
      <c r="E749" s="3" t="s">
        <v>69</v>
      </c>
      <c r="F749" s="3" t="s">
        <v>2319</v>
      </c>
      <c r="G749" s="3" t="s">
        <v>3844</v>
      </c>
      <c r="H749" s="7">
        <v>44774</v>
      </c>
      <c r="I749" s="6">
        <v>5375</v>
      </c>
      <c r="J749" s="6">
        <v>967.5</v>
      </c>
      <c r="K749" s="4">
        <v>39061090</v>
      </c>
      <c r="L749" s="3" t="s">
        <v>2320</v>
      </c>
      <c r="M749" s="3"/>
      <c r="N749" s="5">
        <f t="shared" si="11"/>
        <v>18</v>
      </c>
    </row>
    <row r="750" spans="1:14" ht="14.4" x14ac:dyDescent="0.3">
      <c r="A750" s="3" t="s">
        <v>2321</v>
      </c>
      <c r="B750" s="3" t="s">
        <v>905</v>
      </c>
      <c r="C750" s="3" t="s">
        <v>672</v>
      </c>
      <c r="D750" s="3" t="s">
        <v>906</v>
      </c>
      <c r="E750" s="3" t="s">
        <v>80</v>
      </c>
      <c r="F750" s="3" t="s">
        <v>2322</v>
      </c>
      <c r="G750" s="3">
        <v>1914</v>
      </c>
      <c r="H750" s="7">
        <v>44791</v>
      </c>
      <c r="I750" s="6">
        <v>566013.1</v>
      </c>
      <c r="J750" s="6"/>
      <c r="K750" s="4">
        <v>39204900</v>
      </c>
      <c r="L750" s="3" t="s">
        <v>2323</v>
      </c>
      <c r="M750" s="3" t="s">
        <v>2324</v>
      </c>
      <c r="N750" s="5">
        <f t="shared" si="11"/>
        <v>0</v>
      </c>
    </row>
    <row r="751" spans="1:14" ht="14.4" x14ac:dyDescent="0.3">
      <c r="A751" s="3" t="s">
        <v>2325</v>
      </c>
      <c r="B751" s="3" t="s">
        <v>911</v>
      </c>
      <c r="C751" s="3" t="s">
        <v>912</v>
      </c>
      <c r="D751" s="3" t="s">
        <v>913</v>
      </c>
      <c r="E751" s="3" t="s">
        <v>69</v>
      </c>
      <c r="F751" s="3" t="s">
        <v>2326</v>
      </c>
      <c r="G751" s="3" t="s">
        <v>3845</v>
      </c>
      <c r="H751" s="7">
        <v>44774</v>
      </c>
      <c r="I751" s="6">
        <v>40000</v>
      </c>
      <c r="J751" s="6">
        <v>7200</v>
      </c>
      <c r="K751" s="4">
        <v>39123929</v>
      </c>
      <c r="L751" s="3" t="s">
        <v>2327</v>
      </c>
      <c r="M751" s="3"/>
      <c r="N751" s="5">
        <f t="shared" si="11"/>
        <v>18</v>
      </c>
    </row>
    <row r="752" spans="1:14" ht="14.4" x14ac:dyDescent="0.3">
      <c r="A752" s="3" t="s">
        <v>2328</v>
      </c>
      <c r="B752" s="3" t="s">
        <v>2329</v>
      </c>
      <c r="C752" s="3" t="s">
        <v>270</v>
      </c>
      <c r="D752" s="3" t="s">
        <v>2330</v>
      </c>
      <c r="E752" s="3" t="s">
        <v>2331</v>
      </c>
      <c r="F752" s="3" t="s">
        <v>2332</v>
      </c>
      <c r="G752" s="3" t="s">
        <v>3846</v>
      </c>
      <c r="H752" s="7">
        <v>44786</v>
      </c>
      <c r="I752" s="6">
        <v>55000</v>
      </c>
      <c r="J752" s="6">
        <v>9900</v>
      </c>
      <c r="K752" s="4">
        <v>29349990</v>
      </c>
      <c r="L752" s="3" t="s">
        <v>2333</v>
      </c>
      <c r="M752" s="3" t="s">
        <v>1615</v>
      </c>
      <c r="N752" s="5">
        <f t="shared" si="11"/>
        <v>18</v>
      </c>
    </row>
    <row r="753" spans="1:14" ht="14.4" x14ac:dyDescent="0.3">
      <c r="A753" s="3" t="s">
        <v>2334</v>
      </c>
      <c r="B753" s="3" t="s">
        <v>803</v>
      </c>
      <c r="C753" s="3" t="s">
        <v>535</v>
      </c>
      <c r="D753" s="3" t="s">
        <v>804</v>
      </c>
      <c r="E753" s="3" t="s">
        <v>378</v>
      </c>
      <c r="F753" s="3" t="s">
        <v>2335</v>
      </c>
      <c r="G753" s="3" t="s">
        <v>3847</v>
      </c>
      <c r="H753" s="7">
        <v>44777</v>
      </c>
      <c r="I753" s="6">
        <v>104000</v>
      </c>
      <c r="J753" s="6">
        <v>18720</v>
      </c>
      <c r="K753" s="4">
        <v>96020030</v>
      </c>
      <c r="L753" s="3"/>
      <c r="M753" s="3" t="s">
        <v>675</v>
      </c>
      <c r="N753" s="5">
        <f t="shared" si="11"/>
        <v>18</v>
      </c>
    </row>
    <row r="754" spans="1:14" ht="14.4" x14ac:dyDescent="0.3">
      <c r="A754" s="3" t="s">
        <v>2336</v>
      </c>
      <c r="B754" s="3" t="s">
        <v>873</v>
      </c>
      <c r="C754" s="3" t="s">
        <v>20</v>
      </c>
      <c r="D754" s="3" t="s">
        <v>874</v>
      </c>
      <c r="E754" s="3" t="s">
        <v>22</v>
      </c>
      <c r="F754" s="3" t="s">
        <v>2337</v>
      </c>
      <c r="G754" s="3" t="s">
        <v>3848</v>
      </c>
      <c r="H754" s="7">
        <v>44776</v>
      </c>
      <c r="I754" s="6">
        <v>77867</v>
      </c>
      <c r="J754" s="6">
        <v>14016.06</v>
      </c>
      <c r="K754" s="4">
        <v>29334900</v>
      </c>
      <c r="L754" s="3" t="s">
        <v>876</v>
      </c>
      <c r="M754" s="3" t="s">
        <v>1776</v>
      </c>
      <c r="N754" s="5">
        <f t="shared" si="11"/>
        <v>18</v>
      </c>
    </row>
    <row r="755" spans="1:14" ht="14.4" x14ac:dyDescent="0.3">
      <c r="A755" s="3" t="s">
        <v>2338</v>
      </c>
      <c r="B755" s="3" t="s">
        <v>810</v>
      </c>
      <c r="C755" s="3" t="s">
        <v>20</v>
      </c>
      <c r="D755" s="3" t="s">
        <v>843</v>
      </c>
      <c r="E755" s="3" t="s">
        <v>22</v>
      </c>
      <c r="F755" s="3" t="s">
        <v>2339</v>
      </c>
      <c r="G755" s="3" t="s">
        <v>3849</v>
      </c>
      <c r="H755" s="7">
        <v>44778</v>
      </c>
      <c r="I755" s="6">
        <v>72952</v>
      </c>
      <c r="J755" s="6">
        <v>0</v>
      </c>
      <c r="K755" s="4">
        <v>4819</v>
      </c>
      <c r="L755" s="3" t="s">
        <v>845</v>
      </c>
      <c r="M755" s="3" t="s">
        <v>98</v>
      </c>
      <c r="N755" s="5">
        <f t="shared" si="11"/>
        <v>0</v>
      </c>
    </row>
    <row r="756" spans="1:14" ht="14.4" x14ac:dyDescent="0.3">
      <c r="A756" s="3" t="s">
        <v>2340</v>
      </c>
      <c r="B756" s="3" t="s">
        <v>803</v>
      </c>
      <c r="C756" s="3" t="s">
        <v>535</v>
      </c>
      <c r="D756" s="3" t="s">
        <v>804</v>
      </c>
      <c r="E756" s="3" t="s">
        <v>378</v>
      </c>
      <c r="F756" s="3" t="s">
        <v>2341</v>
      </c>
      <c r="G756" s="3" t="s">
        <v>3850</v>
      </c>
      <c r="H756" s="7">
        <v>44799</v>
      </c>
      <c r="I756" s="6">
        <v>68400</v>
      </c>
      <c r="J756" s="6">
        <v>12312</v>
      </c>
      <c r="K756" s="4">
        <v>29420090</v>
      </c>
      <c r="L756" s="3"/>
      <c r="M756" s="3" t="s">
        <v>835</v>
      </c>
      <c r="N756" s="5">
        <f t="shared" si="11"/>
        <v>18</v>
      </c>
    </row>
    <row r="757" spans="1:14" ht="14.4" x14ac:dyDescent="0.3">
      <c r="A757" s="3" t="s">
        <v>2342</v>
      </c>
      <c r="B757" s="3" t="s">
        <v>893</v>
      </c>
      <c r="C757" s="3" t="s">
        <v>894</v>
      </c>
      <c r="D757" s="3" t="s">
        <v>895</v>
      </c>
      <c r="E757" s="3" t="s">
        <v>896</v>
      </c>
      <c r="F757" s="3" t="s">
        <v>2343</v>
      </c>
      <c r="G757" s="3" t="s">
        <v>3851</v>
      </c>
      <c r="H757" s="7">
        <v>44791</v>
      </c>
      <c r="I757" s="6">
        <v>966500</v>
      </c>
      <c r="J757" s="6">
        <v>173970</v>
      </c>
      <c r="K757" s="4">
        <v>29222933</v>
      </c>
      <c r="L757" s="3" t="s">
        <v>1995</v>
      </c>
      <c r="M757" s="3" t="s">
        <v>1438</v>
      </c>
      <c r="N757" s="5">
        <f t="shared" si="11"/>
        <v>18</v>
      </c>
    </row>
    <row r="758" spans="1:14" ht="14.4" x14ac:dyDescent="0.3">
      <c r="A758" s="3" t="s">
        <v>2344</v>
      </c>
      <c r="B758" s="3" t="s">
        <v>1470</v>
      </c>
      <c r="C758" s="3" t="s">
        <v>20</v>
      </c>
      <c r="D758" s="3" t="s">
        <v>1471</v>
      </c>
      <c r="E758" s="3" t="s">
        <v>22</v>
      </c>
      <c r="F758" s="3" t="s">
        <v>2345</v>
      </c>
      <c r="G758" s="3" t="s">
        <v>3852</v>
      </c>
      <c r="H758" s="7">
        <v>44785</v>
      </c>
      <c r="I758" s="6">
        <v>144272.1</v>
      </c>
      <c r="J758" s="6">
        <v>25968.98</v>
      </c>
      <c r="K758" s="4">
        <v>29389090</v>
      </c>
      <c r="L758" s="3"/>
      <c r="M758" s="3" t="s">
        <v>1776</v>
      </c>
      <c r="N758" s="5">
        <f t="shared" si="11"/>
        <v>18.000001386269417</v>
      </c>
    </row>
    <row r="759" spans="1:14" ht="14.4" x14ac:dyDescent="0.3">
      <c r="A759" s="3" t="s">
        <v>2346</v>
      </c>
      <c r="B759" s="3" t="s">
        <v>803</v>
      </c>
      <c r="C759" s="3" t="s">
        <v>535</v>
      </c>
      <c r="D759" s="3" t="s">
        <v>804</v>
      </c>
      <c r="E759" s="3" t="s">
        <v>378</v>
      </c>
      <c r="F759" s="3" t="s">
        <v>2347</v>
      </c>
      <c r="G759" s="3" t="s">
        <v>3853</v>
      </c>
      <c r="H759" s="7">
        <v>44783</v>
      </c>
      <c r="I759" s="6">
        <v>232000</v>
      </c>
      <c r="J759" s="6">
        <v>41760</v>
      </c>
      <c r="K759" s="4">
        <v>96020030</v>
      </c>
      <c r="L759" s="3"/>
      <c r="M759" s="3" t="s">
        <v>1438</v>
      </c>
      <c r="N759" s="5">
        <f t="shared" si="11"/>
        <v>18</v>
      </c>
    </row>
    <row r="760" spans="1:14" ht="14.4" x14ac:dyDescent="0.3">
      <c r="A760" s="3" t="s">
        <v>2348</v>
      </c>
      <c r="B760" s="3" t="s">
        <v>873</v>
      </c>
      <c r="C760" s="3" t="s">
        <v>20</v>
      </c>
      <c r="D760" s="3" t="s">
        <v>874</v>
      </c>
      <c r="E760" s="3" t="s">
        <v>22</v>
      </c>
      <c r="F760" s="3" t="s">
        <v>2349</v>
      </c>
      <c r="G760" s="3" t="s">
        <v>3854</v>
      </c>
      <c r="H760" s="7">
        <v>44775</v>
      </c>
      <c r="I760" s="6">
        <v>79669</v>
      </c>
      <c r="J760" s="6">
        <v>14340.42</v>
      </c>
      <c r="K760" s="4">
        <v>29331999</v>
      </c>
      <c r="L760" s="3" t="s">
        <v>876</v>
      </c>
      <c r="M760" s="3" t="s">
        <v>1590</v>
      </c>
      <c r="N760" s="5">
        <f t="shared" si="11"/>
        <v>18</v>
      </c>
    </row>
    <row r="761" spans="1:14" ht="14.4" x14ac:dyDescent="0.3">
      <c r="A761" s="3" t="s">
        <v>2350</v>
      </c>
      <c r="B761" s="3" t="s">
        <v>803</v>
      </c>
      <c r="C761" s="3" t="s">
        <v>535</v>
      </c>
      <c r="D761" s="3" t="s">
        <v>804</v>
      </c>
      <c r="E761" s="3" t="s">
        <v>378</v>
      </c>
      <c r="F761" s="3" t="s">
        <v>2351</v>
      </c>
      <c r="G761" s="3" t="s">
        <v>3855</v>
      </c>
      <c r="H761" s="7">
        <v>44804</v>
      </c>
      <c r="I761" s="6">
        <v>117625</v>
      </c>
      <c r="J761" s="6">
        <v>21172.5</v>
      </c>
      <c r="K761" s="4">
        <v>96020030</v>
      </c>
      <c r="L761" s="3"/>
      <c r="M761" s="3" t="s">
        <v>280</v>
      </c>
      <c r="N761" s="5">
        <f t="shared" si="11"/>
        <v>18</v>
      </c>
    </row>
    <row r="762" spans="1:14" ht="14.4" x14ac:dyDescent="0.3">
      <c r="A762" s="3" t="s">
        <v>2352</v>
      </c>
      <c r="B762" s="3" t="s">
        <v>2353</v>
      </c>
      <c r="C762" s="3" t="s">
        <v>20</v>
      </c>
      <c r="D762" s="3" t="s">
        <v>2354</v>
      </c>
      <c r="E762" s="3" t="s">
        <v>22</v>
      </c>
      <c r="F762" s="3" t="s">
        <v>2355</v>
      </c>
      <c r="G762" s="3" t="s">
        <v>3856</v>
      </c>
      <c r="H762" s="7">
        <v>44796</v>
      </c>
      <c r="I762" s="6">
        <v>42180</v>
      </c>
      <c r="J762" s="6">
        <v>7592</v>
      </c>
      <c r="K762" s="4">
        <v>8536</v>
      </c>
      <c r="L762" s="3"/>
      <c r="M762" s="3" t="s">
        <v>2356</v>
      </c>
      <c r="N762" s="5">
        <f t="shared" si="11"/>
        <v>17.999051683262209</v>
      </c>
    </row>
    <row r="763" spans="1:14" ht="14.4" x14ac:dyDescent="0.3">
      <c r="A763" s="3" t="s">
        <v>2357</v>
      </c>
      <c r="B763" s="3" t="s">
        <v>810</v>
      </c>
      <c r="C763" s="3" t="s">
        <v>20</v>
      </c>
      <c r="D763" s="3" t="s">
        <v>843</v>
      </c>
      <c r="E763" s="3" t="s">
        <v>22</v>
      </c>
      <c r="F763" s="3" t="s">
        <v>2358</v>
      </c>
      <c r="G763" s="3" t="s">
        <v>3857</v>
      </c>
      <c r="H763" s="7">
        <v>44791</v>
      </c>
      <c r="I763" s="6">
        <v>70764</v>
      </c>
      <c r="J763" s="6">
        <v>0</v>
      </c>
      <c r="K763" s="4">
        <v>4819</v>
      </c>
      <c r="L763" s="3" t="s">
        <v>845</v>
      </c>
      <c r="M763" s="3" t="s">
        <v>835</v>
      </c>
      <c r="N763" s="5">
        <f t="shared" si="11"/>
        <v>0</v>
      </c>
    </row>
    <row r="764" spans="1:14" ht="14.4" x14ac:dyDescent="0.3">
      <c r="A764" s="3" t="s">
        <v>2359</v>
      </c>
      <c r="B764" s="3" t="s">
        <v>2360</v>
      </c>
      <c r="C764" s="3" t="s">
        <v>20</v>
      </c>
      <c r="D764" s="3" t="s">
        <v>2361</v>
      </c>
      <c r="E764" s="3" t="s">
        <v>22</v>
      </c>
      <c r="F764" s="3" t="s">
        <v>2362</v>
      </c>
      <c r="G764" s="3" t="s">
        <v>3858</v>
      </c>
      <c r="H764" s="7">
        <v>44791</v>
      </c>
      <c r="I764" s="6">
        <v>65775.350000000006</v>
      </c>
      <c r="J764" s="6">
        <v>11839.56</v>
      </c>
      <c r="K764" s="4">
        <v>7607</v>
      </c>
      <c r="L764" s="3" t="s">
        <v>1884</v>
      </c>
      <c r="M764" s="3" t="s">
        <v>280</v>
      </c>
      <c r="N764" s="5">
        <f t="shared" si="11"/>
        <v>17.999995439020847</v>
      </c>
    </row>
    <row r="765" spans="1:14" ht="14.4" x14ac:dyDescent="0.3">
      <c r="A765" s="3" t="s">
        <v>2363</v>
      </c>
      <c r="B765" s="3" t="s">
        <v>859</v>
      </c>
      <c r="C765" s="3" t="s">
        <v>134</v>
      </c>
      <c r="D765" s="3" t="s">
        <v>860</v>
      </c>
      <c r="E765" s="3" t="s">
        <v>15</v>
      </c>
      <c r="F765" s="3" t="s">
        <v>2364</v>
      </c>
      <c r="G765" s="3" t="s">
        <v>3859</v>
      </c>
      <c r="H765" s="7">
        <v>44789</v>
      </c>
      <c r="I765" s="6">
        <v>220000</v>
      </c>
      <c r="J765" s="6">
        <v>39600</v>
      </c>
      <c r="K765" s="4">
        <v>29420090</v>
      </c>
      <c r="L765" s="3"/>
      <c r="M765" s="3" t="s">
        <v>863</v>
      </c>
      <c r="N765" s="5">
        <f t="shared" si="11"/>
        <v>18</v>
      </c>
    </row>
    <row r="766" spans="1:14" ht="14.4" x14ac:dyDescent="0.3">
      <c r="A766" s="3" t="s">
        <v>2365</v>
      </c>
      <c r="B766" s="3" t="s">
        <v>803</v>
      </c>
      <c r="C766" s="3" t="s">
        <v>535</v>
      </c>
      <c r="D766" s="3" t="s">
        <v>804</v>
      </c>
      <c r="E766" s="3" t="s">
        <v>378</v>
      </c>
      <c r="F766" s="3" t="s">
        <v>2366</v>
      </c>
      <c r="G766" s="3" t="s">
        <v>3860</v>
      </c>
      <c r="H766" s="7">
        <v>44785</v>
      </c>
      <c r="I766" s="6">
        <v>60375</v>
      </c>
      <c r="J766" s="6">
        <v>10867.5</v>
      </c>
      <c r="K766" s="4">
        <v>96020030</v>
      </c>
      <c r="L766" s="3"/>
      <c r="M766" s="3" t="s">
        <v>32</v>
      </c>
      <c r="N766" s="5">
        <f t="shared" si="11"/>
        <v>18</v>
      </c>
    </row>
    <row r="767" spans="1:14" ht="14.4" x14ac:dyDescent="0.3">
      <c r="A767" s="3" t="s">
        <v>2367</v>
      </c>
      <c r="B767" s="3" t="s">
        <v>1432</v>
      </c>
      <c r="C767" s="3" t="s">
        <v>20</v>
      </c>
      <c r="D767" s="3" t="s">
        <v>1433</v>
      </c>
      <c r="E767" s="3" t="s">
        <v>22</v>
      </c>
      <c r="F767" s="3" t="s">
        <v>2368</v>
      </c>
      <c r="G767" s="3" t="s">
        <v>3861</v>
      </c>
      <c r="H767" s="7">
        <v>44834</v>
      </c>
      <c r="I767" s="6">
        <v>500000</v>
      </c>
      <c r="J767" s="6">
        <v>90000</v>
      </c>
      <c r="K767" s="4">
        <v>29420090</v>
      </c>
      <c r="L767" s="3" t="s">
        <v>1699</v>
      </c>
      <c r="M767" s="3"/>
      <c r="N767" s="5">
        <f t="shared" si="11"/>
        <v>18</v>
      </c>
    </row>
    <row r="768" spans="1:14" ht="14.4" x14ac:dyDescent="0.3">
      <c r="A768" s="3" t="s">
        <v>2369</v>
      </c>
      <c r="B768" s="3" t="s">
        <v>1470</v>
      </c>
      <c r="C768" s="3" t="s">
        <v>20</v>
      </c>
      <c r="D768" s="3" t="s">
        <v>1471</v>
      </c>
      <c r="E768" s="3" t="s">
        <v>22</v>
      </c>
      <c r="F768" s="3" t="s">
        <v>2370</v>
      </c>
      <c r="G768" s="3" t="s">
        <v>3862</v>
      </c>
      <c r="H768" s="7">
        <v>44830</v>
      </c>
      <c r="I768" s="6">
        <v>262131</v>
      </c>
      <c r="J768" s="6">
        <v>47183.58</v>
      </c>
      <c r="K768" s="4">
        <v>29335990</v>
      </c>
      <c r="L768" s="3"/>
      <c r="M768" s="3" t="s">
        <v>1746</v>
      </c>
      <c r="N768" s="5">
        <f t="shared" si="11"/>
        <v>18</v>
      </c>
    </row>
    <row r="769" spans="1:14" ht="14.4" x14ac:dyDescent="0.3">
      <c r="A769" s="3" t="s">
        <v>2371</v>
      </c>
      <c r="B769" s="3" t="s">
        <v>837</v>
      </c>
      <c r="C769" s="3" t="s">
        <v>56</v>
      </c>
      <c r="D769" s="3" t="s">
        <v>838</v>
      </c>
      <c r="E769" s="3" t="s">
        <v>188</v>
      </c>
      <c r="F769" s="3" t="s">
        <v>2372</v>
      </c>
      <c r="G769" s="3" t="s">
        <v>3863</v>
      </c>
      <c r="H769" s="7">
        <v>44833</v>
      </c>
      <c r="I769" s="6">
        <v>1715857.5</v>
      </c>
      <c r="J769" s="6">
        <v>308854.34999999998</v>
      </c>
      <c r="K769" s="4">
        <v>29419090</v>
      </c>
      <c r="L769" s="3" t="s">
        <v>2373</v>
      </c>
      <c r="M769" s="3" t="s">
        <v>516</v>
      </c>
      <c r="N769" s="5">
        <f t="shared" si="11"/>
        <v>17.999999999999996</v>
      </c>
    </row>
    <row r="770" spans="1:14" ht="14.4" x14ac:dyDescent="0.3">
      <c r="A770" s="3" t="s">
        <v>2374</v>
      </c>
      <c r="B770" s="3" t="s">
        <v>803</v>
      </c>
      <c r="C770" s="3" t="s">
        <v>535</v>
      </c>
      <c r="D770" s="3" t="s">
        <v>804</v>
      </c>
      <c r="E770" s="3" t="s">
        <v>378</v>
      </c>
      <c r="F770" s="3" t="s">
        <v>2375</v>
      </c>
      <c r="G770" s="3" t="s">
        <v>3864</v>
      </c>
      <c r="H770" s="7">
        <v>44828</v>
      </c>
      <c r="I770" s="6">
        <v>172000</v>
      </c>
      <c r="J770" s="6">
        <v>30960</v>
      </c>
      <c r="K770" s="4">
        <v>29420090</v>
      </c>
      <c r="L770" s="3"/>
      <c r="M770" s="3" t="s">
        <v>1438</v>
      </c>
      <c r="N770" s="5">
        <f t="shared" si="11"/>
        <v>18</v>
      </c>
    </row>
    <row r="771" spans="1:14" ht="14.4" x14ac:dyDescent="0.3">
      <c r="A771" s="3" t="s">
        <v>2376</v>
      </c>
      <c r="B771" s="3" t="s">
        <v>803</v>
      </c>
      <c r="C771" s="3" t="s">
        <v>535</v>
      </c>
      <c r="D771" s="3" t="s">
        <v>804</v>
      </c>
      <c r="E771" s="3" t="s">
        <v>378</v>
      </c>
      <c r="F771" s="3" t="s">
        <v>2377</v>
      </c>
      <c r="G771" s="3" t="s">
        <v>3865</v>
      </c>
      <c r="H771" s="7">
        <v>44817</v>
      </c>
      <c r="I771" s="6">
        <v>51975</v>
      </c>
      <c r="J771" s="6">
        <v>9355.5</v>
      </c>
      <c r="K771" s="4">
        <v>96020030</v>
      </c>
      <c r="L771" s="3"/>
      <c r="M771" s="3" t="s">
        <v>675</v>
      </c>
      <c r="N771" s="5">
        <f t="shared" ref="N771:N834" si="12">J771*100/I771</f>
        <v>18</v>
      </c>
    </row>
    <row r="772" spans="1:14" ht="14.4" x14ac:dyDescent="0.3">
      <c r="A772" s="3" t="s">
        <v>2378</v>
      </c>
      <c r="B772" s="3" t="s">
        <v>2379</v>
      </c>
      <c r="C772" s="3" t="s">
        <v>26</v>
      </c>
      <c r="D772" s="3" t="s">
        <v>2380</v>
      </c>
      <c r="E772" s="3" t="s">
        <v>1723</v>
      </c>
      <c r="F772" s="3" t="s">
        <v>2381</v>
      </c>
      <c r="G772" s="3" t="s">
        <v>3866</v>
      </c>
      <c r="H772" s="7">
        <v>44813</v>
      </c>
      <c r="I772" s="6">
        <v>259008.75</v>
      </c>
      <c r="J772" s="6">
        <v>46621.58</v>
      </c>
      <c r="K772" s="4">
        <v>29420090</v>
      </c>
      <c r="L772" s="3" t="s">
        <v>2382</v>
      </c>
      <c r="M772" s="3" t="s">
        <v>675</v>
      </c>
      <c r="N772" s="5">
        <f t="shared" si="12"/>
        <v>18.000001930436714</v>
      </c>
    </row>
    <row r="773" spans="1:14" ht="14.4" x14ac:dyDescent="0.3">
      <c r="A773" s="3" t="s">
        <v>2383</v>
      </c>
      <c r="B773" s="3" t="s">
        <v>810</v>
      </c>
      <c r="C773" s="3" t="s">
        <v>20</v>
      </c>
      <c r="D773" s="3" t="s">
        <v>843</v>
      </c>
      <c r="E773" s="3" t="s">
        <v>22</v>
      </c>
      <c r="F773" s="3" t="s">
        <v>2384</v>
      </c>
      <c r="G773" s="3" t="s">
        <v>3867</v>
      </c>
      <c r="H773" s="7">
        <v>44811</v>
      </c>
      <c r="I773" s="6">
        <v>95386</v>
      </c>
      <c r="J773" s="6">
        <v>0</v>
      </c>
      <c r="K773" s="4">
        <v>4819</v>
      </c>
      <c r="L773" s="3" t="s">
        <v>845</v>
      </c>
      <c r="M773" s="3" t="s">
        <v>516</v>
      </c>
      <c r="N773" s="5">
        <f t="shared" si="12"/>
        <v>0</v>
      </c>
    </row>
    <row r="774" spans="1:14" ht="14.4" x14ac:dyDescent="0.3">
      <c r="A774" s="3" t="s">
        <v>2385</v>
      </c>
      <c r="B774" s="3" t="s">
        <v>798</v>
      </c>
      <c r="C774" s="3" t="s">
        <v>20</v>
      </c>
      <c r="D774" s="3" t="s">
        <v>799</v>
      </c>
      <c r="E774" s="3" t="s">
        <v>22</v>
      </c>
      <c r="F774" s="3" t="s">
        <v>2386</v>
      </c>
      <c r="G774" s="3">
        <v>494</v>
      </c>
      <c r="H774" s="7">
        <v>44810</v>
      </c>
      <c r="I774" s="6">
        <v>115500</v>
      </c>
      <c r="J774" s="6">
        <v>20790</v>
      </c>
      <c r="K774" s="4">
        <v>8207</v>
      </c>
      <c r="L774" s="3" t="s">
        <v>2387</v>
      </c>
      <c r="M774" s="3" t="s">
        <v>280</v>
      </c>
      <c r="N774" s="5">
        <f t="shared" si="12"/>
        <v>18</v>
      </c>
    </row>
    <row r="775" spans="1:14" ht="14.4" x14ac:dyDescent="0.3">
      <c r="A775" s="3" t="s">
        <v>2388</v>
      </c>
      <c r="B775" s="3" t="s">
        <v>893</v>
      </c>
      <c r="C775" s="3" t="s">
        <v>894</v>
      </c>
      <c r="D775" s="3" t="s">
        <v>1993</v>
      </c>
      <c r="E775" s="3" t="s">
        <v>896</v>
      </c>
      <c r="F775" s="3" t="s">
        <v>2389</v>
      </c>
      <c r="G775" s="3" t="s">
        <v>3868</v>
      </c>
      <c r="H775" s="7">
        <v>44833</v>
      </c>
      <c r="I775" s="6">
        <v>1290650</v>
      </c>
      <c r="J775" s="6">
        <v>232317</v>
      </c>
      <c r="K775" s="4">
        <v>29419090</v>
      </c>
      <c r="L775" s="3" t="s">
        <v>898</v>
      </c>
      <c r="M775" s="3" t="s">
        <v>280</v>
      </c>
      <c r="N775" s="5">
        <f t="shared" si="12"/>
        <v>18</v>
      </c>
    </row>
    <row r="776" spans="1:14" ht="14.4" x14ac:dyDescent="0.3">
      <c r="A776" s="3" t="s">
        <v>2390</v>
      </c>
      <c r="B776" s="3" t="s">
        <v>1432</v>
      </c>
      <c r="C776" s="3" t="s">
        <v>20</v>
      </c>
      <c r="D776" s="3" t="s">
        <v>1433</v>
      </c>
      <c r="E776" s="3" t="s">
        <v>22</v>
      </c>
      <c r="F776" s="3" t="s">
        <v>2391</v>
      </c>
      <c r="G776" s="3" t="s">
        <v>3869</v>
      </c>
      <c r="H776" s="7">
        <v>44832</v>
      </c>
      <c r="I776" s="6">
        <v>312500</v>
      </c>
      <c r="J776" s="6">
        <v>56250</v>
      </c>
      <c r="K776" s="4">
        <v>29420090</v>
      </c>
      <c r="L776" s="3" t="s">
        <v>1699</v>
      </c>
      <c r="M776" s="3"/>
      <c r="N776" s="5">
        <f t="shared" si="12"/>
        <v>18</v>
      </c>
    </row>
    <row r="777" spans="1:14" ht="14.4" x14ac:dyDescent="0.3">
      <c r="A777" s="3" t="s">
        <v>2392</v>
      </c>
      <c r="B777" s="3" t="s">
        <v>810</v>
      </c>
      <c r="C777" s="3" t="s">
        <v>20</v>
      </c>
      <c r="D777" s="3" t="s">
        <v>843</v>
      </c>
      <c r="E777" s="3" t="s">
        <v>22</v>
      </c>
      <c r="F777" s="3" t="s">
        <v>2393</v>
      </c>
      <c r="G777" s="3" t="s">
        <v>3870</v>
      </c>
      <c r="H777" s="7">
        <v>44830</v>
      </c>
      <c r="I777" s="6">
        <v>398236</v>
      </c>
      <c r="J777" s="6">
        <v>0</v>
      </c>
      <c r="K777" s="4">
        <v>4819</v>
      </c>
      <c r="L777" s="3" t="s">
        <v>845</v>
      </c>
      <c r="M777" s="3" t="s">
        <v>1438</v>
      </c>
      <c r="N777" s="5">
        <f t="shared" si="12"/>
        <v>0</v>
      </c>
    </row>
    <row r="778" spans="1:14" ht="14.4" x14ac:dyDescent="0.3">
      <c r="A778" s="3" t="s">
        <v>2394</v>
      </c>
      <c r="B778" s="3" t="s">
        <v>2360</v>
      </c>
      <c r="C778" s="3" t="s">
        <v>20</v>
      </c>
      <c r="D778" s="3" t="s">
        <v>2361</v>
      </c>
      <c r="E778" s="3" t="s">
        <v>22</v>
      </c>
      <c r="F778" s="3" t="s">
        <v>2395</v>
      </c>
      <c r="G778" s="3" t="s">
        <v>3871</v>
      </c>
      <c r="H778" s="7">
        <v>44830</v>
      </c>
      <c r="I778" s="6">
        <v>103661.75</v>
      </c>
      <c r="J778" s="6">
        <v>18659.12</v>
      </c>
      <c r="K778" s="4">
        <v>7607</v>
      </c>
      <c r="L778" s="3" t="s">
        <v>131</v>
      </c>
      <c r="M778" s="3" t="s">
        <v>1438</v>
      </c>
      <c r="N778" s="5">
        <f t="shared" si="12"/>
        <v>18.000004823379886</v>
      </c>
    </row>
    <row r="779" spans="1:14" ht="14.4" x14ac:dyDescent="0.3">
      <c r="A779" s="3" t="s">
        <v>2396</v>
      </c>
      <c r="B779" s="3" t="s">
        <v>1968</v>
      </c>
      <c r="C779" s="3" t="s">
        <v>20</v>
      </c>
      <c r="D779" s="3" t="s">
        <v>1969</v>
      </c>
      <c r="E779" s="3" t="s">
        <v>22</v>
      </c>
      <c r="F779" s="3" t="s">
        <v>2397</v>
      </c>
      <c r="G779" s="3" t="s">
        <v>3872</v>
      </c>
      <c r="H779" s="7">
        <v>44830</v>
      </c>
      <c r="I779" s="6">
        <v>49007</v>
      </c>
      <c r="J779" s="6">
        <v>7488.76</v>
      </c>
      <c r="K779" s="4">
        <v>48192020</v>
      </c>
      <c r="L779" s="3" t="s">
        <v>1972</v>
      </c>
      <c r="M779" s="3" t="s">
        <v>2398</v>
      </c>
      <c r="N779" s="5">
        <f t="shared" si="12"/>
        <v>15.281000673373192</v>
      </c>
    </row>
    <row r="780" spans="1:14" ht="14.4" x14ac:dyDescent="0.3">
      <c r="A780" s="3" t="s">
        <v>2399</v>
      </c>
      <c r="B780" s="3" t="s">
        <v>2379</v>
      </c>
      <c r="C780" s="3" t="s">
        <v>26</v>
      </c>
      <c r="D780" s="3" t="s">
        <v>2380</v>
      </c>
      <c r="E780" s="3" t="s">
        <v>1723</v>
      </c>
      <c r="F780" s="3" t="s">
        <v>2400</v>
      </c>
      <c r="G780" s="3" t="s">
        <v>3873</v>
      </c>
      <c r="H780" s="7">
        <v>44828</v>
      </c>
      <c r="I780" s="6">
        <v>575575</v>
      </c>
      <c r="J780" s="6">
        <v>103603.5</v>
      </c>
      <c r="K780" s="4">
        <v>29419090</v>
      </c>
      <c r="L780" s="3" t="s">
        <v>2401</v>
      </c>
      <c r="M780" s="3" t="s">
        <v>280</v>
      </c>
      <c r="N780" s="5">
        <f t="shared" si="12"/>
        <v>18</v>
      </c>
    </row>
    <row r="781" spans="1:14" ht="14.4" x14ac:dyDescent="0.3">
      <c r="A781" s="3" t="s">
        <v>2402</v>
      </c>
      <c r="B781" s="3" t="s">
        <v>803</v>
      </c>
      <c r="C781" s="3" t="s">
        <v>535</v>
      </c>
      <c r="D781" s="3" t="s">
        <v>804</v>
      </c>
      <c r="E781" s="3" t="s">
        <v>378</v>
      </c>
      <c r="F781" s="3" t="s">
        <v>2403</v>
      </c>
      <c r="G781" s="3" t="s">
        <v>3874</v>
      </c>
      <c r="H781" s="7">
        <v>44826</v>
      </c>
      <c r="I781" s="6">
        <v>18375</v>
      </c>
      <c r="J781" s="6">
        <v>3307.5</v>
      </c>
      <c r="K781" s="4">
        <v>96020030</v>
      </c>
      <c r="L781" s="3"/>
      <c r="M781" s="3" t="s">
        <v>98</v>
      </c>
      <c r="N781" s="5">
        <f t="shared" si="12"/>
        <v>18</v>
      </c>
    </row>
    <row r="782" spans="1:14" ht="14.4" x14ac:dyDescent="0.3">
      <c r="A782" s="3" t="s">
        <v>2404</v>
      </c>
      <c r="B782" s="3" t="s">
        <v>819</v>
      </c>
      <c r="C782" s="3" t="s">
        <v>20</v>
      </c>
      <c r="D782" s="3" t="s">
        <v>820</v>
      </c>
      <c r="E782" s="3" t="s">
        <v>22</v>
      </c>
      <c r="F782" s="3" t="s">
        <v>2405</v>
      </c>
      <c r="G782" s="3" t="s">
        <v>3875</v>
      </c>
      <c r="H782" s="7">
        <v>44824</v>
      </c>
      <c r="I782" s="6">
        <v>230730.5</v>
      </c>
      <c r="J782" s="6">
        <v>41531.49</v>
      </c>
      <c r="K782" s="4">
        <v>29420090</v>
      </c>
      <c r="L782" s="3"/>
      <c r="M782" s="3" t="s">
        <v>36</v>
      </c>
      <c r="N782" s="5">
        <f t="shared" si="12"/>
        <v>18</v>
      </c>
    </row>
    <row r="783" spans="1:14" ht="14.4" x14ac:dyDescent="0.3">
      <c r="A783" s="3" t="s">
        <v>2406</v>
      </c>
      <c r="B783" s="3" t="s">
        <v>810</v>
      </c>
      <c r="C783" s="3" t="s">
        <v>20</v>
      </c>
      <c r="D783" s="3" t="s">
        <v>843</v>
      </c>
      <c r="E783" s="3" t="s">
        <v>22</v>
      </c>
      <c r="F783" s="3" t="s">
        <v>2407</v>
      </c>
      <c r="G783" s="3" t="s">
        <v>3876</v>
      </c>
      <c r="H783" s="7">
        <v>44823</v>
      </c>
      <c r="I783" s="6">
        <v>67774</v>
      </c>
      <c r="J783" s="6">
        <v>0</v>
      </c>
      <c r="K783" s="4">
        <v>4819</v>
      </c>
      <c r="L783" s="3" t="s">
        <v>845</v>
      </c>
      <c r="M783" s="3" t="s">
        <v>675</v>
      </c>
      <c r="N783" s="5">
        <f t="shared" si="12"/>
        <v>0</v>
      </c>
    </row>
    <row r="784" spans="1:14" ht="14.4" x14ac:dyDescent="0.3">
      <c r="A784" s="3" t="s">
        <v>2408</v>
      </c>
      <c r="B784" s="3" t="s">
        <v>803</v>
      </c>
      <c r="C784" s="3" t="s">
        <v>535</v>
      </c>
      <c r="D784" s="3" t="s">
        <v>804</v>
      </c>
      <c r="E784" s="3" t="s">
        <v>378</v>
      </c>
      <c r="F784" s="3" t="s">
        <v>2409</v>
      </c>
      <c r="G784" s="3" t="s">
        <v>3877</v>
      </c>
      <c r="H784" s="7">
        <v>44820</v>
      </c>
      <c r="I784" s="6">
        <v>123225</v>
      </c>
      <c r="J784" s="6">
        <v>22180.5</v>
      </c>
      <c r="K784" s="4">
        <v>96020030</v>
      </c>
      <c r="L784" s="3"/>
      <c r="M784" s="3" t="s">
        <v>675</v>
      </c>
      <c r="N784" s="5">
        <f t="shared" si="12"/>
        <v>18</v>
      </c>
    </row>
    <row r="785" spans="1:14" ht="14.4" x14ac:dyDescent="0.3">
      <c r="A785" s="3" t="s">
        <v>2410</v>
      </c>
      <c r="B785" s="3" t="s">
        <v>803</v>
      </c>
      <c r="C785" s="3" t="s">
        <v>535</v>
      </c>
      <c r="D785" s="3" t="s">
        <v>804</v>
      </c>
      <c r="E785" s="3" t="s">
        <v>378</v>
      </c>
      <c r="F785" s="3" t="s">
        <v>2411</v>
      </c>
      <c r="G785" s="3" t="s">
        <v>3878</v>
      </c>
      <c r="H785" s="7">
        <v>44817</v>
      </c>
      <c r="I785" s="6">
        <v>120000</v>
      </c>
      <c r="J785" s="6">
        <v>21600</v>
      </c>
      <c r="K785" s="4">
        <v>96020030</v>
      </c>
      <c r="L785" s="3"/>
      <c r="M785" s="3" t="s">
        <v>675</v>
      </c>
      <c r="N785" s="5">
        <f t="shared" si="12"/>
        <v>18</v>
      </c>
    </row>
    <row r="786" spans="1:14" ht="14.4" x14ac:dyDescent="0.3">
      <c r="A786" s="3" t="s">
        <v>2412</v>
      </c>
      <c r="B786" s="3" t="s">
        <v>873</v>
      </c>
      <c r="C786" s="3" t="s">
        <v>20</v>
      </c>
      <c r="D786" s="3" t="s">
        <v>874</v>
      </c>
      <c r="E786" s="3" t="s">
        <v>22</v>
      </c>
      <c r="F786" s="3" t="s">
        <v>2413</v>
      </c>
      <c r="G786" s="3" t="s">
        <v>3879</v>
      </c>
      <c r="H786" s="7">
        <v>44816</v>
      </c>
      <c r="I786" s="6">
        <v>54644</v>
      </c>
      <c r="J786" s="6">
        <v>9835.92</v>
      </c>
      <c r="K786" s="4">
        <v>29349990</v>
      </c>
      <c r="L786" s="3" t="s">
        <v>876</v>
      </c>
      <c r="M786" s="3" t="s">
        <v>1590</v>
      </c>
      <c r="N786" s="5">
        <f t="shared" si="12"/>
        <v>18</v>
      </c>
    </row>
    <row r="787" spans="1:14" ht="14.4" x14ac:dyDescent="0.3">
      <c r="A787" s="3" t="s">
        <v>2414</v>
      </c>
      <c r="B787" s="3" t="s">
        <v>1416</v>
      </c>
      <c r="C787" s="3" t="s">
        <v>223</v>
      </c>
      <c r="D787" s="3" t="s">
        <v>1417</v>
      </c>
      <c r="E787" s="3" t="s">
        <v>285</v>
      </c>
      <c r="F787" s="3" t="s">
        <v>2415</v>
      </c>
      <c r="G787" s="3" t="s">
        <v>3880</v>
      </c>
      <c r="H787" s="7">
        <v>44816</v>
      </c>
      <c r="I787" s="6">
        <v>16382</v>
      </c>
      <c r="J787" s="6">
        <v>2949</v>
      </c>
      <c r="K787" s="4">
        <v>29420090</v>
      </c>
      <c r="L787" s="3" t="s">
        <v>2416</v>
      </c>
      <c r="M787" s="3" t="s">
        <v>1776</v>
      </c>
      <c r="N787" s="5">
        <f t="shared" si="12"/>
        <v>18.001465022585766</v>
      </c>
    </row>
    <row r="788" spans="1:14" ht="14.4" x14ac:dyDescent="0.3">
      <c r="A788" s="3" t="s">
        <v>2417</v>
      </c>
      <c r="B788" s="3" t="s">
        <v>859</v>
      </c>
      <c r="C788" s="3" t="s">
        <v>134</v>
      </c>
      <c r="D788" s="3" t="s">
        <v>860</v>
      </c>
      <c r="E788" s="3" t="s">
        <v>15</v>
      </c>
      <c r="F788" s="3" t="s">
        <v>2418</v>
      </c>
      <c r="G788" s="3" t="s">
        <v>3881</v>
      </c>
      <c r="H788" s="7">
        <v>44816</v>
      </c>
      <c r="I788" s="6">
        <v>280000</v>
      </c>
      <c r="J788" s="6">
        <v>50400</v>
      </c>
      <c r="K788" s="4">
        <v>29420090</v>
      </c>
      <c r="L788" s="3"/>
      <c r="M788" s="3" t="s">
        <v>863</v>
      </c>
      <c r="N788" s="5">
        <f t="shared" si="12"/>
        <v>18</v>
      </c>
    </row>
    <row r="789" spans="1:14" ht="14.4" x14ac:dyDescent="0.3">
      <c r="A789" s="3" t="s">
        <v>2419</v>
      </c>
      <c r="B789" s="3" t="s">
        <v>2420</v>
      </c>
      <c r="C789" s="3" t="s">
        <v>20</v>
      </c>
      <c r="D789" s="3" t="s">
        <v>865</v>
      </c>
      <c r="E789" s="3" t="s">
        <v>22</v>
      </c>
      <c r="F789" s="3" t="s">
        <v>2421</v>
      </c>
      <c r="G789" s="3">
        <v>941</v>
      </c>
      <c r="H789" s="7">
        <v>44814</v>
      </c>
      <c r="I789" s="6">
        <v>97513.5</v>
      </c>
      <c r="J789" s="6">
        <v>17552.43</v>
      </c>
      <c r="K789" s="4">
        <v>39219023</v>
      </c>
      <c r="L789" s="3" t="s">
        <v>2422</v>
      </c>
      <c r="M789" s="3" t="s">
        <v>280</v>
      </c>
      <c r="N789" s="5">
        <f t="shared" si="12"/>
        <v>18</v>
      </c>
    </row>
    <row r="790" spans="1:14" ht="14.4" x14ac:dyDescent="0.3">
      <c r="A790" s="3" t="s">
        <v>2423</v>
      </c>
      <c r="B790" s="3" t="s">
        <v>2420</v>
      </c>
      <c r="C790" s="3" t="s">
        <v>20</v>
      </c>
      <c r="D790" s="3" t="s">
        <v>865</v>
      </c>
      <c r="E790" s="3" t="s">
        <v>22</v>
      </c>
      <c r="F790" s="3" t="s">
        <v>2424</v>
      </c>
      <c r="G790" s="3">
        <v>932</v>
      </c>
      <c r="H790" s="7">
        <v>44812</v>
      </c>
      <c r="I790" s="6">
        <v>94683</v>
      </c>
      <c r="J790" s="6">
        <v>17042.939999999999</v>
      </c>
      <c r="K790" s="4">
        <v>39204900</v>
      </c>
      <c r="L790" s="3"/>
      <c r="M790" s="3" t="s">
        <v>675</v>
      </c>
      <c r="N790" s="5">
        <f t="shared" si="12"/>
        <v>17.999999999999996</v>
      </c>
    </row>
    <row r="791" spans="1:14" ht="14.4" x14ac:dyDescent="0.3">
      <c r="A791" s="3" t="s">
        <v>2425</v>
      </c>
      <c r="B791" s="3" t="s">
        <v>1470</v>
      </c>
      <c r="C791" s="3" t="s">
        <v>20</v>
      </c>
      <c r="D791" s="3" t="s">
        <v>1471</v>
      </c>
      <c r="E791" s="3" t="s">
        <v>22</v>
      </c>
      <c r="F791" s="3" t="s">
        <v>2426</v>
      </c>
      <c r="G791" s="3" t="s">
        <v>3882</v>
      </c>
      <c r="H791" s="7">
        <v>44807</v>
      </c>
      <c r="I791" s="6">
        <v>223611.75</v>
      </c>
      <c r="J791" s="6">
        <v>40250.11</v>
      </c>
      <c r="K791" s="4">
        <v>29335990</v>
      </c>
      <c r="L791" s="3"/>
      <c r="M791" s="3" t="s">
        <v>2427</v>
      </c>
      <c r="N791" s="5">
        <f t="shared" si="12"/>
        <v>17.999997763981543</v>
      </c>
    </row>
    <row r="792" spans="1:14" ht="14.4" x14ac:dyDescent="0.3">
      <c r="A792" s="3" t="s">
        <v>2428</v>
      </c>
      <c r="B792" s="3" t="s">
        <v>2379</v>
      </c>
      <c r="C792" s="3" t="s">
        <v>26</v>
      </c>
      <c r="D792" s="3" t="s">
        <v>2380</v>
      </c>
      <c r="E792" s="3" t="s">
        <v>1723</v>
      </c>
      <c r="F792" s="3" t="s">
        <v>2429</v>
      </c>
      <c r="G792" s="3" t="s">
        <v>3883</v>
      </c>
      <c r="H792" s="7">
        <v>44806</v>
      </c>
      <c r="I792" s="6">
        <v>189689.5</v>
      </c>
      <c r="J792" s="6">
        <v>34144.11</v>
      </c>
      <c r="K792" s="4">
        <v>29420090</v>
      </c>
      <c r="L792" s="3" t="s">
        <v>2382</v>
      </c>
      <c r="M792" s="3" t="s">
        <v>835</v>
      </c>
      <c r="N792" s="5">
        <f t="shared" si="12"/>
        <v>18</v>
      </c>
    </row>
    <row r="793" spans="1:14" ht="14.4" x14ac:dyDescent="0.3">
      <c r="A793" s="3" t="s">
        <v>2430</v>
      </c>
      <c r="B793" s="3" t="s">
        <v>815</v>
      </c>
      <c r="C793" s="3" t="s">
        <v>20</v>
      </c>
      <c r="D793" s="3" t="s">
        <v>816</v>
      </c>
      <c r="E793" s="3" t="s">
        <v>22</v>
      </c>
      <c r="F793" s="3" t="s">
        <v>2431</v>
      </c>
      <c r="G793" s="3" t="s">
        <v>3884</v>
      </c>
      <c r="H793" s="7">
        <v>44805</v>
      </c>
      <c r="I793" s="6">
        <v>105000</v>
      </c>
      <c r="J793" s="6">
        <v>18900</v>
      </c>
      <c r="K793" s="4">
        <v>4819</v>
      </c>
      <c r="L793" s="3"/>
      <c r="M793" s="3" t="s">
        <v>516</v>
      </c>
      <c r="N793" s="5">
        <f t="shared" si="12"/>
        <v>18</v>
      </c>
    </row>
    <row r="794" spans="1:14" ht="14.4" x14ac:dyDescent="0.3">
      <c r="A794" s="3" t="s">
        <v>2432</v>
      </c>
      <c r="B794" s="3" t="s">
        <v>803</v>
      </c>
      <c r="C794" s="3" t="s">
        <v>535</v>
      </c>
      <c r="D794" s="3" t="s">
        <v>804</v>
      </c>
      <c r="E794" s="3" t="s">
        <v>378</v>
      </c>
      <c r="F794" s="3" t="s">
        <v>2433</v>
      </c>
      <c r="G794" s="3" t="s">
        <v>3885</v>
      </c>
      <c r="H794" s="7">
        <v>44805</v>
      </c>
      <c r="I794" s="6">
        <v>12500</v>
      </c>
      <c r="J794" s="6">
        <v>2250</v>
      </c>
      <c r="K794" s="4">
        <v>96020030</v>
      </c>
      <c r="L794" s="3"/>
      <c r="M794" s="3" t="s">
        <v>516</v>
      </c>
      <c r="N794" s="5">
        <f t="shared" si="12"/>
        <v>18</v>
      </c>
    </row>
    <row r="795" spans="1:14" ht="14.4" x14ac:dyDescent="0.3">
      <c r="A795" s="3" t="s">
        <v>2434</v>
      </c>
      <c r="B795" s="3" t="s">
        <v>905</v>
      </c>
      <c r="C795" s="3" t="s">
        <v>672</v>
      </c>
      <c r="D795" s="3" t="s">
        <v>906</v>
      </c>
      <c r="E795" s="3" t="s">
        <v>80</v>
      </c>
      <c r="F795" s="3" t="s">
        <v>2435</v>
      </c>
      <c r="G795" s="3">
        <v>2383</v>
      </c>
      <c r="H795" s="7">
        <v>44824</v>
      </c>
      <c r="I795" s="6">
        <v>37192.5</v>
      </c>
      <c r="J795" s="6"/>
      <c r="K795" s="4">
        <v>39204900</v>
      </c>
      <c r="L795" s="3" t="s">
        <v>2436</v>
      </c>
      <c r="M795" s="3" t="s">
        <v>1488</v>
      </c>
      <c r="N795" s="5">
        <f t="shared" si="12"/>
        <v>0</v>
      </c>
    </row>
    <row r="796" spans="1:14" ht="14.4" x14ac:dyDescent="0.3">
      <c r="A796" s="3" t="s">
        <v>2437</v>
      </c>
      <c r="B796" s="3" t="s">
        <v>932</v>
      </c>
      <c r="C796" s="3" t="s">
        <v>20</v>
      </c>
      <c r="D796" s="3" t="s">
        <v>933</v>
      </c>
      <c r="E796" s="3" t="s">
        <v>22</v>
      </c>
      <c r="F796" s="3" t="s">
        <v>2438</v>
      </c>
      <c r="G796" s="3" t="s">
        <v>3886</v>
      </c>
      <c r="H796" s="7">
        <v>44816</v>
      </c>
      <c r="I796" s="6">
        <v>9000</v>
      </c>
      <c r="J796" s="6">
        <v>1620</v>
      </c>
      <c r="K796" s="4">
        <v>32050000</v>
      </c>
      <c r="L796" s="3" t="s">
        <v>2439</v>
      </c>
      <c r="M796" s="3" t="s">
        <v>1615</v>
      </c>
      <c r="N796" s="5">
        <f t="shared" si="12"/>
        <v>18</v>
      </c>
    </row>
    <row r="797" spans="1:14" ht="14.4" x14ac:dyDescent="0.3">
      <c r="A797" s="3" t="s">
        <v>2440</v>
      </c>
      <c r="B797" s="3" t="s">
        <v>1501</v>
      </c>
      <c r="C797" s="3" t="s">
        <v>134</v>
      </c>
      <c r="D797" s="3" t="s">
        <v>1502</v>
      </c>
      <c r="E797" s="3" t="s">
        <v>285</v>
      </c>
      <c r="F797" s="3" t="s">
        <v>2441</v>
      </c>
      <c r="G797" s="3" t="s">
        <v>3887</v>
      </c>
      <c r="H797" s="7">
        <v>44806</v>
      </c>
      <c r="I797" s="6">
        <v>154000</v>
      </c>
      <c r="J797" s="6">
        <v>27720</v>
      </c>
      <c r="K797" s="4">
        <v>29224990</v>
      </c>
      <c r="L797" s="3" t="s">
        <v>1504</v>
      </c>
      <c r="M797" s="3" t="s">
        <v>597</v>
      </c>
      <c r="N797" s="5">
        <f t="shared" si="12"/>
        <v>18</v>
      </c>
    </row>
    <row r="798" spans="1:14" ht="14.4" x14ac:dyDescent="0.3">
      <c r="A798" s="3" t="s">
        <v>2442</v>
      </c>
      <c r="B798" s="3" t="s">
        <v>2443</v>
      </c>
      <c r="C798" s="3" t="s">
        <v>291</v>
      </c>
      <c r="D798" s="3" t="s">
        <v>2444</v>
      </c>
      <c r="E798" s="3" t="s">
        <v>80</v>
      </c>
      <c r="F798" s="3" t="s">
        <v>2445</v>
      </c>
      <c r="G798" s="3" t="s">
        <v>3888</v>
      </c>
      <c r="H798" s="7">
        <v>44809</v>
      </c>
      <c r="I798" s="6">
        <v>43531.34</v>
      </c>
      <c r="J798" s="6">
        <v>7835.66</v>
      </c>
      <c r="K798" s="4">
        <v>39204900</v>
      </c>
      <c r="L798" s="3" t="s">
        <v>2446</v>
      </c>
      <c r="M798" s="3" t="s">
        <v>2447</v>
      </c>
      <c r="N798" s="5">
        <f t="shared" si="12"/>
        <v>18.000043187276113</v>
      </c>
    </row>
    <row r="799" spans="1:14" ht="14.4" x14ac:dyDescent="0.3">
      <c r="A799" s="3" t="s">
        <v>2448</v>
      </c>
      <c r="B799" s="3" t="s">
        <v>2449</v>
      </c>
      <c r="C799" s="3" t="s">
        <v>2450</v>
      </c>
      <c r="D799" s="3" t="s">
        <v>918</v>
      </c>
      <c r="E799" s="3" t="s">
        <v>69</v>
      </c>
      <c r="F799" s="3" t="s">
        <v>2451</v>
      </c>
      <c r="G799" s="3" t="s">
        <v>3889</v>
      </c>
      <c r="H799" s="7">
        <v>44807</v>
      </c>
      <c r="I799" s="6">
        <v>560000</v>
      </c>
      <c r="J799" s="6">
        <v>100800</v>
      </c>
      <c r="K799" s="4">
        <v>29411030</v>
      </c>
      <c r="L799" s="3" t="s">
        <v>2452</v>
      </c>
      <c r="M799" s="3" t="s">
        <v>2453</v>
      </c>
      <c r="N799" s="5">
        <f t="shared" si="12"/>
        <v>18</v>
      </c>
    </row>
    <row r="800" spans="1:14" ht="14.4" x14ac:dyDescent="0.3">
      <c r="A800" s="3" t="s">
        <v>2454</v>
      </c>
      <c r="B800" s="3" t="s">
        <v>905</v>
      </c>
      <c r="C800" s="3" t="s">
        <v>672</v>
      </c>
      <c r="D800" s="3" t="s">
        <v>906</v>
      </c>
      <c r="E800" s="3" t="s">
        <v>80</v>
      </c>
      <c r="F800" s="3" t="s">
        <v>2455</v>
      </c>
      <c r="G800" s="3">
        <v>2326</v>
      </c>
      <c r="H800" s="7">
        <v>44819</v>
      </c>
      <c r="I800" s="6">
        <v>144794.91</v>
      </c>
      <c r="J800" s="6"/>
      <c r="K800" s="4">
        <v>39204900</v>
      </c>
      <c r="L800" s="3" t="s">
        <v>1404</v>
      </c>
      <c r="M800" s="3" t="s">
        <v>1966</v>
      </c>
      <c r="N800" s="5">
        <f t="shared" si="12"/>
        <v>0</v>
      </c>
    </row>
    <row r="801" spans="1:14" ht="14.4" x14ac:dyDescent="0.3">
      <c r="A801" s="3" t="s">
        <v>2456</v>
      </c>
      <c r="B801" s="3" t="s">
        <v>932</v>
      </c>
      <c r="C801" s="3" t="s">
        <v>20</v>
      </c>
      <c r="D801" s="3" t="s">
        <v>933</v>
      </c>
      <c r="E801" s="3" t="s">
        <v>22</v>
      </c>
      <c r="F801" s="3" t="s">
        <v>2457</v>
      </c>
      <c r="G801" s="3" t="s">
        <v>3890</v>
      </c>
      <c r="H801" s="7">
        <v>44806</v>
      </c>
      <c r="I801" s="6">
        <v>67500</v>
      </c>
      <c r="J801" s="6">
        <v>12150</v>
      </c>
      <c r="K801" s="4">
        <v>32050000</v>
      </c>
      <c r="L801" s="3" t="s">
        <v>935</v>
      </c>
      <c r="M801" s="3"/>
      <c r="N801" s="5">
        <f t="shared" si="12"/>
        <v>18</v>
      </c>
    </row>
    <row r="802" spans="1:14" ht="14.4" x14ac:dyDescent="0.3">
      <c r="A802" s="3" t="s">
        <v>2458</v>
      </c>
      <c r="B802" s="3" t="s">
        <v>2443</v>
      </c>
      <c r="C802" s="3" t="s">
        <v>291</v>
      </c>
      <c r="D802" s="3" t="s">
        <v>2444</v>
      </c>
      <c r="E802" s="3" t="s">
        <v>80</v>
      </c>
      <c r="F802" s="3" t="s">
        <v>2459</v>
      </c>
      <c r="G802" s="3" t="s">
        <v>3891</v>
      </c>
      <c r="H802" s="7">
        <v>44809</v>
      </c>
      <c r="I802" s="6">
        <v>85626.23</v>
      </c>
      <c r="J802" s="6">
        <v>15412.77</v>
      </c>
      <c r="K802" s="4">
        <v>39204900</v>
      </c>
      <c r="L802" s="3" t="s">
        <v>2460</v>
      </c>
      <c r="M802" s="3" t="s">
        <v>2447</v>
      </c>
      <c r="N802" s="5">
        <f t="shared" si="12"/>
        <v>18.000056758308759</v>
      </c>
    </row>
    <row r="803" spans="1:14" ht="14.4" x14ac:dyDescent="0.3">
      <c r="A803" s="3" t="s">
        <v>2461</v>
      </c>
      <c r="B803" s="3" t="s">
        <v>542</v>
      </c>
      <c r="C803" s="3" t="s">
        <v>20</v>
      </c>
      <c r="D803" s="3" t="s">
        <v>2462</v>
      </c>
      <c r="E803" s="3" t="s">
        <v>22</v>
      </c>
      <c r="F803" s="3" t="s">
        <v>2463</v>
      </c>
      <c r="G803" s="3">
        <v>30</v>
      </c>
      <c r="H803" s="7">
        <v>44806</v>
      </c>
      <c r="I803" s="6">
        <v>135000</v>
      </c>
      <c r="J803" s="6">
        <v>24300</v>
      </c>
      <c r="K803" s="4">
        <v>39129090</v>
      </c>
      <c r="L803" s="3"/>
      <c r="M803" s="3" t="s">
        <v>964</v>
      </c>
      <c r="N803" s="5">
        <f t="shared" si="12"/>
        <v>18</v>
      </c>
    </row>
    <row r="804" spans="1:14" ht="14.4" x14ac:dyDescent="0.3">
      <c r="A804" s="3" t="s">
        <v>2464</v>
      </c>
      <c r="B804" s="3" t="s">
        <v>783</v>
      </c>
      <c r="C804" s="3" t="s">
        <v>20</v>
      </c>
      <c r="D804" s="3" t="s">
        <v>784</v>
      </c>
      <c r="E804" s="3" t="s">
        <v>22</v>
      </c>
      <c r="F804" s="3" t="s">
        <v>2465</v>
      </c>
      <c r="G804" s="3" t="s">
        <v>3892</v>
      </c>
      <c r="H804" s="7">
        <v>44806</v>
      </c>
      <c r="I804" s="6">
        <v>18666.75</v>
      </c>
      <c r="J804" s="6">
        <v>3360.01</v>
      </c>
      <c r="K804" s="4">
        <v>760719</v>
      </c>
      <c r="L804" s="3" t="s">
        <v>786</v>
      </c>
      <c r="M804" s="3" t="s">
        <v>2466</v>
      </c>
      <c r="N804" s="5">
        <f t="shared" si="12"/>
        <v>17.999973214405294</v>
      </c>
    </row>
    <row r="805" spans="1:14" ht="14.4" x14ac:dyDescent="0.3">
      <c r="A805" s="3" t="s">
        <v>2467</v>
      </c>
      <c r="B805" s="3" t="s">
        <v>788</v>
      </c>
      <c r="C805" s="3" t="s">
        <v>20</v>
      </c>
      <c r="D805" s="3" t="s">
        <v>789</v>
      </c>
      <c r="E805" s="3" t="s">
        <v>22</v>
      </c>
      <c r="F805" s="3" t="s">
        <v>2468</v>
      </c>
      <c r="G805" s="3" t="s">
        <v>3893</v>
      </c>
      <c r="H805" s="7">
        <v>44806</v>
      </c>
      <c r="I805" s="6">
        <v>80525</v>
      </c>
      <c r="J805" s="6">
        <v>14494.5</v>
      </c>
      <c r="K805" s="4">
        <v>48192020</v>
      </c>
      <c r="L805" s="3" t="s">
        <v>791</v>
      </c>
      <c r="M805" s="3" t="s">
        <v>2466</v>
      </c>
      <c r="N805" s="5">
        <f t="shared" si="12"/>
        <v>18</v>
      </c>
    </row>
    <row r="806" spans="1:14" ht="14.4" x14ac:dyDescent="0.3">
      <c r="A806" s="3" t="s">
        <v>2469</v>
      </c>
      <c r="B806" s="3" t="s">
        <v>957</v>
      </c>
      <c r="C806" s="3" t="s">
        <v>134</v>
      </c>
      <c r="D806" s="3" t="s">
        <v>958</v>
      </c>
      <c r="E806" s="3" t="s">
        <v>396</v>
      </c>
      <c r="F806" s="3" t="s">
        <v>2470</v>
      </c>
      <c r="G806" s="3">
        <v>128</v>
      </c>
      <c r="H806" s="7">
        <v>44810</v>
      </c>
      <c r="I806" s="6">
        <v>35271</v>
      </c>
      <c r="J806" s="6">
        <v>6348.78</v>
      </c>
      <c r="K806" s="4">
        <v>4821</v>
      </c>
      <c r="L806" s="3" t="s">
        <v>960</v>
      </c>
      <c r="M806" s="3" t="s">
        <v>516</v>
      </c>
      <c r="N806" s="5">
        <f t="shared" si="12"/>
        <v>18</v>
      </c>
    </row>
    <row r="807" spans="1:14" ht="14.4" x14ac:dyDescent="0.3">
      <c r="A807" s="3" t="s">
        <v>2471</v>
      </c>
      <c r="B807" s="3" t="s">
        <v>957</v>
      </c>
      <c r="C807" s="3" t="s">
        <v>134</v>
      </c>
      <c r="D807" s="3" t="s">
        <v>958</v>
      </c>
      <c r="E807" s="3" t="s">
        <v>396</v>
      </c>
      <c r="F807" s="3" t="s">
        <v>2472</v>
      </c>
      <c r="G807" s="3">
        <v>130</v>
      </c>
      <c r="H807" s="7">
        <v>44812</v>
      </c>
      <c r="I807" s="6">
        <v>18398.5</v>
      </c>
      <c r="J807" s="6">
        <v>3311.73</v>
      </c>
      <c r="K807" s="4">
        <v>4821</v>
      </c>
      <c r="L807" s="3" t="s">
        <v>960</v>
      </c>
      <c r="M807" s="3" t="s">
        <v>516</v>
      </c>
      <c r="N807" s="5">
        <f t="shared" si="12"/>
        <v>18</v>
      </c>
    </row>
    <row r="808" spans="1:14" ht="14.4" x14ac:dyDescent="0.3">
      <c r="A808" s="3" t="s">
        <v>2473</v>
      </c>
      <c r="B808" s="3" t="s">
        <v>1940</v>
      </c>
      <c r="C808" s="3" t="s">
        <v>20</v>
      </c>
      <c r="D808" s="3" t="s">
        <v>1941</v>
      </c>
      <c r="E808" s="3" t="s">
        <v>22</v>
      </c>
      <c r="F808" s="3" t="s">
        <v>2474</v>
      </c>
      <c r="G808" s="3">
        <v>46</v>
      </c>
      <c r="H808" s="7">
        <v>44814</v>
      </c>
      <c r="I808" s="6">
        <v>609915.67000000004</v>
      </c>
      <c r="J808" s="6">
        <v>109784.82</v>
      </c>
      <c r="K808" s="4">
        <v>7411</v>
      </c>
      <c r="L808" s="3"/>
      <c r="M808" s="3" t="s">
        <v>2475</v>
      </c>
      <c r="N808" s="5">
        <f t="shared" si="12"/>
        <v>17.999999901625742</v>
      </c>
    </row>
    <row r="809" spans="1:14" ht="14.4" x14ac:dyDescent="0.3">
      <c r="A809" s="3" t="s">
        <v>2476</v>
      </c>
      <c r="B809" s="3" t="s">
        <v>1940</v>
      </c>
      <c r="C809" s="3" t="s">
        <v>20</v>
      </c>
      <c r="D809" s="3" t="s">
        <v>1941</v>
      </c>
      <c r="E809" s="3" t="s">
        <v>22</v>
      </c>
      <c r="F809" s="3" t="s">
        <v>2477</v>
      </c>
      <c r="G809" s="3" t="s">
        <v>3894</v>
      </c>
      <c r="H809" s="7">
        <v>44814</v>
      </c>
      <c r="I809" s="6">
        <v>107943</v>
      </c>
      <c r="J809" s="6">
        <v>30224.04</v>
      </c>
      <c r="K809" s="4">
        <v>8415</v>
      </c>
      <c r="L809" s="3"/>
      <c r="M809" s="3" t="s">
        <v>2475</v>
      </c>
      <c r="N809" s="5">
        <f t="shared" si="12"/>
        <v>28</v>
      </c>
    </row>
    <row r="810" spans="1:14" ht="14.4" x14ac:dyDescent="0.3">
      <c r="A810" s="3" t="s">
        <v>2478</v>
      </c>
      <c r="B810" s="3" t="s">
        <v>542</v>
      </c>
      <c r="C810" s="3" t="s">
        <v>20</v>
      </c>
      <c r="D810" s="3" t="s">
        <v>2479</v>
      </c>
      <c r="E810" s="3" t="s">
        <v>22</v>
      </c>
      <c r="F810" s="3" t="s">
        <v>2480</v>
      </c>
      <c r="G810" s="3">
        <v>39</v>
      </c>
      <c r="H810" s="7">
        <v>44830</v>
      </c>
      <c r="I810" s="6">
        <v>60000</v>
      </c>
      <c r="J810" s="6">
        <v>10800</v>
      </c>
      <c r="K810" s="4">
        <v>28365000</v>
      </c>
      <c r="L810" s="3"/>
      <c r="M810" s="3" t="s">
        <v>964</v>
      </c>
      <c r="N810" s="5">
        <f t="shared" si="12"/>
        <v>18</v>
      </c>
    </row>
    <row r="811" spans="1:14" ht="14.4" x14ac:dyDescent="0.3">
      <c r="A811" s="3" t="s">
        <v>2481</v>
      </c>
      <c r="B811" s="3" t="s">
        <v>2300</v>
      </c>
      <c r="C811" s="3" t="s">
        <v>20</v>
      </c>
      <c r="D811" s="3" t="s">
        <v>2301</v>
      </c>
      <c r="E811" s="3" t="s">
        <v>22</v>
      </c>
      <c r="F811" s="3" t="s">
        <v>2482</v>
      </c>
      <c r="G811" s="3">
        <v>68</v>
      </c>
      <c r="H811" s="7">
        <v>44832</v>
      </c>
      <c r="I811" s="6">
        <v>538106.48</v>
      </c>
      <c r="J811" s="6">
        <v>96859.17</v>
      </c>
      <c r="K811" s="4">
        <v>8544</v>
      </c>
      <c r="L811" s="3" t="s">
        <v>2303</v>
      </c>
      <c r="M811" s="3" t="s">
        <v>2483</v>
      </c>
      <c r="N811" s="5">
        <f t="shared" si="12"/>
        <v>18.000000669012572</v>
      </c>
    </row>
    <row r="812" spans="1:14" ht="14.4" x14ac:dyDescent="0.3">
      <c r="A812" s="3" t="s">
        <v>2484</v>
      </c>
      <c r="B812" s="3" t="s">
        <v>957</v>
      </c>
      <c r="C812" s="3" t="s">
        <v>134</v>
      </c>
      <c r="D812" s="3" t="s">
        <v>958</v>
      </c>
      <c r="E812" s="3" t="s">
        <v>396</v>
      </c>
      <c r="F812" s="3" t="s">
        <v>2485</v>
      </c>
      <c r="G812" s="3">
        <v>144</v>
      </c>
      <c r="H812" s="7">
        <v>44833</v>
      </c>
      <c r="I812" s="6">
        <v>124775.5</v>
      </c>
      <c r="J812" s="6">
        <v>22459.59</v>
      </c>
      <c r="K812" s="4">
        <v>4821</v>
      </c>
      <c r="L812" s="3" t="s">
        <v>960</v>
      </c>
      <c r="M812" s="3" t="s">
        <v>36</v>
      </c>
      <c r="N812" s="5">
        <f t="shared" si="12"/>
        <v>18</v>
      </c>
    </row>
    <row r="813" spans="1:14" ht="14.4" x14ac:dyDescent="0.3">
      <c r="A813" s="3" t="s">
        <v>2486</v>
      </c>
      <c r="B813" s="3" t="s">
        <v>659</v>
      </c>
      <c r="C813" s="3" t="s">
        <v>660</v>
      </c>
      <c r="D813" s="3" t="s">
        <v>372</v>
      </c>
      <c r="E813" s="3" t="s">
        <v>80</v>
      </c>
      <c r="F813" s="3" t="s">
        <v>2487</v>
      </c>
      <c r="G813" s="3" t="s">
        <v>3895</v>
      </c>
      <c r="H813" s="7">
        <v>44711</v>
      </c>
      <c r="I813" s="6">
        <v>560000</v>
      </c>
      <c r="J813" s="6">
        <v>100800</v>
      </c>
      <c r="K813" s="4">
        <v>29242190</v>
      </c>
      <c r="L813" s="3" t="s">
        <v>2073</v>
      </c>
      <c r="M813" s="3" t="s">
        <v>675</v>
      </c>
      <c r="N813" s="5">
        <f t="shared" si="12"/>
        <v>18</v>
      </c>
    </row>
    <row r="814" spans="1:14" ht="14.4" x14ac:dyDescent="0.3">
      <c r="A814" s="3" t="s">
        <v>2488</v>
      </c>
      <c r="B814" s="3" t="s">
        <v>1161</v>
      </c>
      <c r="C814" s="3" t="s">
        <v>20</v>
      </c>
      <c r="D814" s="3" t="s">
        <v>1162</v>
      </c>
      <c r="E814" s="3" t="s">
        <v>22</v>
      </c>
      <c r="F814" s="3" t="s">
        <v>2489</v>
      </c>
      <c r="G814" s="3" t="s">
        <v>3896</v>
      </c>
      <c r="H814" s="7">
        <v>44740</v>
      </c>
      <c r="I814" s="6">
        <v>59500</v>
      </c>
      <c r="J814" s="6">
        <v>10710</v>
      </c>
      <c r="K814" s="4">
        <v>29333990</v>
      </c>
      <c r="L814" s="3" t="s">
        <v>365</v>
      </c>
      <c r="M814" s="3" t="s">
        <v>32</v>
      </c>
      <c r="N814" s="5">
        <f t="shared" si="12"/>
        <v>18</v>
      </c>
    </row>
    <row r="815" spans="1:14" ht="14.4" x14ac:dyDescent="0.3">
      <c r="A815" s="3" t="s">
        <v>2490</v>
      </c>
      <c r="B815" s="3" t="s">
        <v>315</v>
      </c>
      <c r="C815" s="3" t="s">
        <v>134</v>
      </c>
      <c r="D815" s="3" t="s">
        <v>292</v>
      </c>
      <c r="E815" s="3" t="s">
        <v>298</v>
      </c>
      <c r="F815" s="3" t="s">
        <v>2491</v>
      </c>
      <c r="G815" s="3" t="s">
        <v>3897</v>
      </c>
      <c r="H815" s="7">
        <v>44739</v>
      </c>
      <c r="I815" s="6">
        <v>270000</v>
      </c>
      <c r="J815" s="6">
        <v>48600</v>
      </c>
      <c r="K815" s="4">
        <v>29319090</v>
      </c>
      <c r="L815" s="3" t="s">
        <v>2492</v>
      </c>
      <c r="M815" s="3" t="s">
        <v>36</v>
      </c>
      <c r="N815" s="5">
        <f t="shared" si="12"/>
        <v>18</v>
      </c>
    </row>
    <row r="816" spans="1:14" ht="14.4" x14ac:dyDescent="0.3">
      <c r="A816" s="3" t="s">
        <v>2493</v>
      </c>
      <c r="B816" s="3" t="s">
        <v>2494</v>
      </c>
      <c r="C816" s="3" t="s">
        <v>20</v>
      </c>
      <c r="D816" s="3" t="s">
        <v>292</v>
      </c>
      <c r="E816" s="3" t="s">
        <v>2495</v>
      </c>
      <c r="F816" s="3" t="s">
        <v>2496</v>
      </c>
      <c r="G816" s="3" t="s">
        <v>3898</v>
      </c>
      <c r="H816" s="7">
        <v>44729</v>
      </c>
      <c r="I816" s="6">
        <v>560000</v>
      </c>
      <c r="J816" s="6">
        <v>100800</v>
      </c>
      <c r="K816" s="4">
        <v>29242190</v>
      </c>
      <c r="L816" s="3" t="s">
        <v>2497</v>
      </c>
      <c r="M816" s="3" t="s">
        <v>675</v>
      </c>
      <c r="N816" s="5">
        <f t="shared" si="12"/>
        <v>18</v>
      </c>
    </row>
    <row r="817" spans="1:14" ht="14.4" x14ac:dyDescent="0.3">
      <c r="A817" s="3" t="s">
        <v>2498</v>
      </c>
      <c r="B817" s="3" t="s">
        <v>309</v>
      </c>
      <c r="C817" s="3" t="s">
        <v>310</v>
      </c>
      <c r="D817" s="3" t="s">
        <v>311</v>
      </c>
      <c r="E817" s="3" t="s">
        <v>80</v>
      </c>
      <c r="F817" s="3" t="s">
        <v>2499</v>
      </c>
      <c r="G817" s="3" t="s">
        <v>3899</v>
      </c>
      <c r="H817" s="7">
        <v>44729</v>
      </c>
      <c r="I817" s="6">
        <v>210000</v>
      </c>
      <c r="J817" s="6">
        <v>37800</v>
      </c>
      <c r="K817" s="4">
        <v>29335990</v>
      </c>
      <c r="L817" s="3" t="s">
        <v>313</v>
      </c>
      <c r="M817" s="3" t="s">
        <v>98</v>
      </c>
      <c r="N817" s="5">
        <f t="shared" si="12"/>
        <v>18</v>
      </c>
    </row>
    <row r="818" spans="1:14" ht="14.4" x14ac:dyDescent="0.3">
      <c r="A818" s="3" t="s">
        <v>2500</v>
      </c>
      <c r="B818" s="3" t="s">
        <v>315</v>
      </c>
      <c r="C818" s="3" t="s">
        <v>134</v>
      </c>
      <c r="D818" s="3" t="s">
        <v>292</v>
      </c>
      <c r="E818" s="3" t="s">
        <v>298</v>
      </c>
      <c r="F818" s="3" t="s">
        <v>2501</v>
      </c>
      <c r="G818" s="3" t="s">
        <v>3900</v>
      </c>
      <c r="H818" s="7">
        <v>44722</v>
      </c>
      <c r="I818" s="6">
        <v>94000</v>
      </c>
      <c r="J818" s="6">
        <v>16920</v>
      </c>
      <c r="K818" s="4">
        <v>29334900</v>
      </c>
      <c r="L818" s="3" t="s">
        <v>2502</v>
      </c>
      <c r="M818" s="3" t="s">
        <v>53</v>
      </c>
      <c r="N818" s="5">
        <f t="shared" si="12"/>
        <v>18</v>
      </c>
    </row>
    <row r="819" spans="1:14" ht="14.4" x14ac:dyDescent="0.3">
      <c r="A819" s="3" t="s">
        <v>2503</v>
      </c>
      <c r="B819" s="3" t="s">
        <v>677</v>
      </c>
      <c r="C819" s="3" t="s">
        <v>134</v>
      </c>
      <c r="D819" s="3" t="s">
        <v>678</v>
      </c>
      <c r="E819" s="3" t="s">
        <v>22</v>
      </c>
      <c r="F819" s="3" t="s">
        <v>2504</v>
      </c>
      <c r="G819" s="3" t="s">
        <v>3901</v>
      </c>
      <c r="H819" s="7">
        <v>44723</v>
      </c>
      <c r="I819" s="6">
        <v>82966.16</v>
      </c>
      <c r="J819" s="6">
        <v>14933.91</v>
      </c>
      <c r="K819" s="4">
        <v>29420090</v>
      </c>
      <c r="L819" s="3" t="s">
        <v>2505</v>
      </c>
      <c r="M819" s="3"/>
      <c r="N819" s="5">
        <f t="shared" si="12"/>
        <v>18.000001446372835</v>
      </c>
    </row>
    <row r="820" spans="1:14" ht="14.4" x14ac:dyDescent="0.3">
      <c r="A820" s="3" t="s">
        <v>2506</v>
      </c>
      <c r="B820" s="3" t="s">
        <v>315</v>
      </c>
      <c r="C820" s="3" t="s">
        <v>134</v>
      </c>
      <c r="D820" s="3" t="s">
        <v>292</v>
      </c>
      <c r="E820" s="3" t="s">
        <v>298</v>
      </c>
      <c r="F820" s="3" t="s">
        <v>2507</v>
      </c>
      <c r="G820" s="3" t="s">
        <v>3902</v>
      </c>
      <c r="H820" s="7">
        <v>44721</v>
      </c>
      <c r="I820" s="6">
        <v>344000</v>
      </c>
      <c r="J820" s="6">
        <v>61920</v>
      </c>
      <c r="K820" s="4">
        <v>29420012</v>
      </c>
      <c r="L820" s="3" t="s">
        <v>2065</v>
      </c>
      <c r="M820" s="3" t="s">
        <v>53</v>
      </c>
      <c r="N820" s="5">
        <f t="shared" si="12"/>
        <v>18</v>
      </c>
    </row>
    <row r="821" spans="1:14" ht="14.4" x14ac:dyDescent="0.3">
      <c r="A821" s="3" t="s">
        <v>2508</v>
      </c>
      <c r="B821" s="3" t="s">
        <v>315</v>
      </c>
      <c r="C821" s="3" t="s">
        <v>134</v>
      </c>
      <c r="D821" s="3" t="s">
        <v>292</v>
      </c>
      <c r="E821" s="3" t="s">
        <v>298</v>
      </c>
      <c r="F821" s="3" t="s">
        <v>2509</v>
      </c>
      <c r="G821" s="3" t="s">
        <v>3903</v>
      </c>
      <c r="H821" s="7">
        <v>44715</v>
      </c>
      <c r="I821" s="6">
        <v>272000</v>
      </c>
      <c r="J821" s="6">
        <v>48960</v>
      </c>
      <c r="K821" s="4">
        <v>29332910</v>
      </c>
      <c r="L821" s="3" t="s">
        <v>2510</v>
      </c>
      <c r="M821" s="3" t="s">
        <v>2511</v>
      </c>
      <c r="N821" s="5">
        <f t="shared" si="12"/>
        <v>18</v>
      </c>
    </row>
    <row r="822" spans="1:14" ht="14.4" x14ac:dyDescent="0.3">
      <c r="A822" s="3" t="s">
        <v>2512</v>
      </c>
      <c r="B822" s="3" t="s">
        <v>1161</v>
      </c>
      <c r="C822" s="3" t="s">
        <v>20</v>
      </c>
      <c r="D822" s="3" t="s">
        <v>2513</v>
      </c>
      <c r="E822" s="3" t="s">
        <v>22</v>
      </c>
      <c r="F822" s="3" t="s">
        <v>2514</v>
      </c>
      <c r="G822" s="3" t="s">
        <v>3904</v>
      </c>
      <c r="H822" s="7">
        <v>44713</v>
      </c>
      <c r="I822" s="6">
        <v>118750</v>
      </c>
      <c r="J822" s="6">
        <v>21375</v>
      </c>
      <c r="K822" s="4">
        <v>29334900</v>
      </c>
      <c r="L822" s="3" t="s">
        <v>365</v>
      </c>
      <c r="M822" s="3" t="s">
        <v>98</v>
      </c>
      <c r="N822" s="5">
        <f t="shared" si="12"/>
        <v>18</v>
      </c>
    </row>
    <row r="823" spans="1:14" ht="14.4" x14ac:dyDescent="0.3">
      <c r="A823" s="3" t="s">
        <v>2515</v>
      </c>
      <c r="B823" s="3" t="s">
        <v>2516</v>
      </c>
      <c r="C823" s="3" t="s">
        <v>20</v>
      </c>
      <c r="D823" s="3" t="s">
        <v>292</v>
      </c>
      <c r="E823" s="3" t="s">
        <v>188</v>
      </c>
      <c r="F823" s="3" t="s">
        <v>2517</v>
      </c>
      <c r="G823" s="3" t="s">
        <v>3905</v>
      </c>
      <c r="H823" s="7">
        <v>44713</v>
      </c>
      <c r="I823" s="6">
        <v>182700</v>
      </c>
      <c r="J823" s="6">
        <v>32886</v>
      </c>
      <c r="K823" s="4">
        <v>29332990</v>
      </c>
      <c r="L823" s="3" t="s">
        <v>920</v>
      </c>
      <c r="M823" s="3" t="s">
        <v>98</v>
      </c>
      <c r="N823" s="5">
        <f t="shared" si="12"/>
        <v>18</v>
      </c>
    </row>
    <row r="824" spans="1:14" ht="14.4" x14ac:dyDescent="0.3">
      <c r="A824" s="3" t="s">
        <v>2518</v>
      </c>
      <c r="B824" s="3" t="s">
        <v>2124</v>
      </c>
      <c r="C824" s="3" t="s">
        <v>134</v>
      </c>
      <c r="D824" s="3" t="s">
        <v>2519</v>
      </c>
      <c r="E824" s="3" t="s">
        <v>2125</v>
      </c>
      <c r="F824" s="3" t="s">
        <v>2520</v>
      </c>
      <c r="G824" s="3">
        <v>695</v>
      </c>
      <c r="H824" s="7">
        <v>44712</v>
      </c>
      <c r="I824" s="6">
        <v>142500</v>
      </c>
      <c r="J824" s="6">
        <v>25650</v>
      </c>
      <c r="K824" s="4">
        <v>29420090</v>
      </c>
      <c r="L824" s="3" t="s">
        <v>2521</v>
      </c>
      <c r="M824" s="3" t="s">
        <v>98</v>
      </c>
      <c r="N824" s="5">
        <f t="shared" si="12"/>
        <v>18</v>
      </c>
    </row>
    <row r="825" spans="1:14" ht="14.4" x14ac:dyDescent="0.3">
      <c r="A825" s="3" t="s">
        <v>2522</v>
      </c>
      <c r="B825" s="3" t="s">
        <v>1197</v>
      </c>
      <c r="C825" s="3" t="s">
        <v>20</v>
      </c>
      <c r="D825" s="3" t="s">
        <v>1198</v>
      </c>
      <c r="E825" s="3" t="s">
        <v>22</v>
      </c>
      <c r="F825" s="3" t="s">
        <v>2523</v>
      </c>
      <c r="G825" s="3" t="s">
        <v>3906</v>
      </c>
      <c r="H825" s="7">
        <v>44713</v>
      </c>
      <c r="I825" s="6">
        <v>87350</v>
      </c>
      <c r="J825" s="6">
        <v>15723</v>
      </c>
      <c r="K825" s="4">
        <v>84749000</v>
      </c>
      <c r="L825" s="3" t="s">
        <v>1200</v>
      </c>
      <c r="M825" s="3" t="s">
        <v>32</v>
      </c>
      <c r="N825" s="5">
        <f t="shared" si="12"/>
        <v>18</v>
      </c>
    </row>
    <row r="826" spans="1:14" ht="14.4" x14ac:dyDescent="0.3">
      <c r="A826" s="3" t="s">
        <v>2524</v>
      </c>
      <c r="B826" s="3" t="s">
        <v>394</v>
      </c>
      <c r="C826" s="3" t="s">
        <v>26</v>
      </c>
      <c r="D826" s="3" t="s">
        <v>95</v>
      </c>
      <c r="E826" s="3" t="s">
        <v>22</v>
      </c>
      <c r="F826" s="3" t="s">
        <v>2525</v>
      </c>
      <c r="G826" s="3" t="s">
        <v>3907</v>
      </c>
      <c r="H826" s="7">
        <v>44721</v>
      </c>
      <c r="I826" s="6">
        <v>51526.84</v>
      </c>
      <c r="J826" s="6">
        <v>9274.84</v>
      </c>
      <c r="K826" s="4">
        <v>48192090</v>
      </c>
      <c r="L826" s="3" t="s">
        <v>97</v>
      </c>
      <c r="M826" s="3" t="s">
        <v>36</v>
      </c>
      <c r="N826" s="5">
        <f t="shared" si="12"/>
        <v>18.000017078477935</v>
      </c>
    </row>
    <row r="827" spans="1:14" ht="14.4" x14ac:dyDescent="0.3">
      <c r="A827" s="3" t="s">
        <v>2526</v>
      </c>
      <c r="B827" s="3" t="s">
        <v>161</v>
      </c>
      <c r="C827" s="3" t="s">
        <v>56</v>
      </c>
      <c r="D827" s="3" t="s">
        <v>57</v>
      </c>
      <c r="E827" s="3" t="s">
        <v>162</v>
      </c>
      <c r="F827" s="3" t="s">
        <v>2527</v>
      </c>
      <c r="G827" s="3" t="s">
        <v>3908</v>
      </c>
      <c r="H827" s="7">
        <v>44715</v>
      </c>
      <c r="I827" s="6">
        <v>51900.94</v>
      </c>
      <c r="J827" s="6">
        <v>9342.16</v>
      </c>
      <c r="K827" s="4">
        <v>29420090</v>
      </c>
      <c r="L827" s="3" t="s">
        <v>2528</v>
      </c>
      <c r="M827" s="3" t="s">
        <v>495</v>
      </c>
      <c r="N827" s="5">
        <f t="shared" si="12"/>
        <v>17.999982273924132</v>
      </c>
    </row>
    <row r="828" spans="1:14" ht="14.4" x14ac:dyDescent="0.3">
      <c r="A828" s="3" t="s">
        <v>2529</v>
      </c>
      <c r="B828" s="3" t="s">
        <v>186</v>
      </c>
      <c r="C828" s="3" t="s">
        <v>187</v>
      </c>
      <c r="D828" s="3" t="s">
        <v>39</v>
      </c>
      <c r="E828" s="3" t="s">
        <v>188</v>
      </c>
      <c r="F828" s="3" t="s">
        <v>2530</v>
      </c>
      <c r="G828" s="3" t="s">
        <v>3909</v>
      </c>
      <c r="H828" s="7">
        <v>44714</v>
      </c>
      <c r="I828" s="6">
        <v>125558.39999999999</v>
      </c>
      <c r="J828" s="6">
        <v>22600.52</v>
      </c>
      <c r="K828" s="4">
        <v>39233090</v>
      </c>
      <c r="L828" s="3" t="s">
        <v>2531</v>
      </c>
      <c r="M828" s="3" t="s">
        <v>92</v>
      </c>
      <c r="N828" s="5">
        <f t="shared" si="12"/>
        <v>18.000006371537072</v>
      </c>
    </row>
    <row r="829" spans="1:14" ht="14.4" x14ac:dyDescent="0.3">
      <c r="A829" s="3" t="s">
        <v>2532</v>
      </c>
      <c r="B829" s="3" t="s">
        <v>1855</v>
      </c>
      <c r="C829" s="3" t="s">
        <v>1856</v>
      </c>
      <c r="D829" s="3" t="s">
        <v>15</v>
      </c>
      <c r="E829" s="3" t="s">
        <v>15</v>
      </c>
      <c r="F829" s="3" t="s">
        <v>2533</v>
      </c>
      <c r="G829" s="3">
        <v>2617</v>
      </c>
      <c r="H829" s="7">
        <v>44720</v>
      </c>
      <c r="I829" s="6">
        <v>436127.1</v>
      </c>
      <c r="J829" s="6">
        <v>78502.86</v>
      </c>
      <c r="K829" s="4">
        <v>72107000</v>
      </c>
      <c r="L829" s="3" t="s">
        <v>1858</v>
      </c>
      <c r="M829" s="3" t="s">
        <v>2534</v>
      </c>
      <c r="N829" s="5">
        <f t="shared" si="12"/>
        <v>17.999995872762781</v>
      </c>
    </row>
    <row r="830" spans="1:14" ht="14.4" x14ac:dyDescent="0.3">
      <c r="A830" s="3" t="s">
        <v>2535</v>
      </c>
      <c r="B830" s="3" t="s">
        <v>25</v>
      </c>
      <c r="C830" s="3" t="s">
        <v>26</v>
      </c>
      <c r="D830" s="3" t="s">
        <v>27</v>
      </c>
      <c r="E830" s="3" t="s">
        <v>28</v>
      </c>
      <c r="F830" s="3" t="s">
        <v>2536</v>
      </c>
      <c r="G830" s="3" t="s">
        <v>3910</v>
      </c>
      <c r="H830" s="7">
        <v>44741</v>
      </c>
      <c r="I830" s="6">
        <v>1537500</v>
      </c>
      <c r="J830" s="6">
        <v>276750</v>
      </c>
      <c r="K830" s="4">
        <v>29419090</v>
      </c>
      <c r="L830" s="3" t="s">
        <v>1669</v>
      </c>
      <c r="M830" s="3" t="s">
        <v>280</v>
      </c>
      <c r="N830" s="5">
        <f t="shared" si="12"/>
        <v>18</v>
      </c>
    </row>
    <row r="831" spans="1:14" ht="14.4" x14ac:dyDescent="0.3">
      <c r="A831" s="3" t="s">
        <v>2537</v>
      </c>
      <c r="B831" s="3" t="s">
        <v>394</v>
      </c>
      <c r="C831" s="3" t="s">
        <v>26</v>
      </c>
      <c r="D831" s="3" t="s">
        <v>95</v>
      </c>
      <c r="E831" s="3" t="s">
        <v>22</v>
      </c>
      <c r="F831" s="3" t="s">
        <v>2538</v>
      </c>
      <c r="G831" s="3" t="s">
        <v>3911</v>
      </c>
      <c r="H831" s="7">
        <v>44741</v>
      </c>
      <c r="I831" s="6">
        <v>72480.740000000005</v>
      </c>
      <c r="J831" s="6">
        <v>13046.56</v>
      </c>
      <c r="K831" s="4">
        <v>48192090</v>
      </c>
      <c r="L831" s="3" t="s">
        <v>97</v>
      </c>
      <c r="M831" s="3" t="s">
        <v>280</v>
      </c>
      <c r="N831" s="5">
        <f t="shared" si="12"/>
        <v>18.000036975339931</v>
      </c>
    </row>
    <row r="832" spans="1:14" ht="14.4" x14ac:dyDescent="0.3">
      <c r="A832" s="3" t="s">
        <v>2539</v>
      </c>
      <c r="B832" s="3" t="s">
        <v>178</v>
      </c>
      <c r="C832" s="3" t="s">
        <v>20</v>
      </c>
      <c r="D832" s="3" t="s">
        <v>50</v>
      </c>
      <c r="E832" s="3" t="s">
        <v>22</v>
      </c>
      <c r="F832" s="3" t="s">
        <v>2540</v>
      </c>
      <c r="G832" s="3" t="s">
        <v>3912</v>
      </c>
      <c r="H832" s="7">
        <v>44740</v>
      </c>
      <c r="I832" s="6">
        <v>87953.2</v>
      </c>
      <c r="J832" s="6">
        <v>15831.58</v>
      </c>
      <c r="K832" s="4">
        <v>76071995</v>
      </c>
      <c r="L832" s="3" t="s">
        <v>180</v>
      </c>
      <c r="M832" s="3" t="s">
        <v>32</v>
      </c>
      <c r="N832" s="5">
        <f t="shared" si="12"/>
        <v>18.000004547873189</v>
      </c>
    </row>
    <row r="833" spans="1:14" ht="14.4" x14ac:dyDescent="0.3">
      <c r="A833" s="3" t="s">
        <v>2541</v>
      </c>
      <c r="B833" s="3" t="s">
        <v>394</v>
      </c>
      <c r="C833" s="3" t="s">
        <v>26</v>
      </c>
      <c r="D833" s="3" t="s">
        <v>95</v>
      </c>
      <c r="E833" s="3" t="s">
        <v>22</v>
      </c>
      <c r="F833" s="3" t="s">
        <v>2542</v>
      </c>
      <c r="G833" s="3" t="s">
        <v>3913</v>
      </c>
      <c r="H833" s="7">
        <v>44739</v>
      </c>
      <c r="I833" s="6">
        <v>91802.55</v>
      </c>
      <c r="J833" s="6">
        <v>14574.46</v>
      </c>
      <c r="K833" s="4">
        <v>48192090</v>
      </c>
      <c r="L833" s="3" t="s">
        <v>97</v>
      </c>
      <c r="M833" s="3" t="s">
        <v>675</v>
      </c>
      <c r="N833" s="5">
        <f t="shared" si="12"/>
        <v>15.875877086202943</v>
      </c>
    </row>
    <row r="834" spans="1:14" ht="14.4" x14ac:dyDescent="0.3">
      <c r="A834" s="3" t="s">
        <v>2543</v>
      </c>
      <c r="B834" s="3" t="s">
        <v>89</v>
      </c>
      <c r="C834" s="3" t="s">
        <v>20</v>
      </c>
      <c r="D834" s="3" t="s">
        <v>50</v>
      </c>
      <c r="E834" s="3" t="s">
        <v>22</v>
      </c>
      <c r="F834" s="3" t="s">
        <v>2544</v>
      </c>
      <c r="G834" s="3">
        <v>310</v>
      </c>
      <c r="H834" s="7">
        <v>44730</v>
      </c>
      <c r="I834" s="6">
        <v>4400</v>
      </c>
      <c r="J834" s="6">
        <v>792</v>
      </c>
      <c r="K834" s="4">
        <v>84425010</v>
      </c>
      <c r="L834" s="3" t="s">
        <v>91</v>
      </c>
      <c r="M834" s="3" t="s">
        <v>675</v>
      </c>
      <c r="N834" s="5">
        <f t="shared" si="12"/>
        <v>18</v>
      </c>
    </row>
    <row r="835" spans="1:14" ht="14.4" x14ac:dyDescent="0.3">
      <c r="A835" s="3" t="s">
        <v>2545</v>
      </c>
      <c r="B835" s="3" t="s">
        <v>1918</v>
      </c>
      <c r="C835" s="3" t="s">
        <v>20</v>
      </c>
      <c r="D835" s="3" t="s">
        <v>112</v>
      </c>
      <c r="E835" s="3" t="s">
        <v>22</v>
      </c>
      <c r="F835" s="3" t="s">
        <v>2546</v>
      </c>
      <c r="G835" s="3">
        <v>616</v>
      </c>
      <c r="H835" s="7">
        <v>44729</v>
      </c>
      <c r="I835" s="6">
        <v>12688</v>
      </c>
      <c r="J835" s="6">
        <v>634.4</v>
      </c>
      <c r="K835" s="4">
        <v>49011020</v>
      </c>
      <c r="L835" s="3"/>
      <c r="M835" s="3" t="s">
        <v>1089</v>
      </c>
      <c r="N835" s="5">
        <f t="shared" ref="N835:N898" si="13">J835*100/I835</f>
        <v>5</v>
      </c>
    </row>
    <row r="836" spans="1:14" ht="14.4" x14ac:dyDescent="0.3">
      <c r="A836" s="3" t="s">
        <v>2547</v>
      </c>
      <c r="B836" s="3" t="s">
        <v>2548</v>
      </c>
      <c r="C836" s="3" t="s">
        <v>20</v>
      </c>
      <c r="D836" s="3" t="s">
        <v>780</v>
      </c>
      <c r="E836" s="3" t="s">
        <v>22</v>
      </c>
      <c r="F836" s="3" t="s">
        <v>2549</v>
      </c>
      <c r="G836" s="3">
        <v>105</v>
      </c>
      <c r="H836" s="7">
        <v>44728</v>
      </c>
      <c r="I836" s="6">
        <v>79779</v>
      </c>
      <c r="J836" s="6">
        <v>14360.22</v>
      </c>
      <c r="K836" s="4">
        <v>4819</v>
      </c>
      <c r="L836" s="3" t="s">
        <v>991</v>
      </c>
      <c r="M836" s="3" t="s">
        <v>2550</v>
      </c>
      <c r="N836" s="5">
        <f t="shared" si="13"/>
        <v>18</v>
      </c>
    </row>
    <row r="837" spans="1:14" ht="14.4" x14ac:dyDescent="0.3">
      <c r="A837" s="3" t="s">
        <v>2551</v>
      </c>
      <c r="B837" s="3" t="s">
        <v>55</v>
      </c>
      <c r="C837" s="3" t="s">
        <v>56</v>
      </c>
      <c r="D837" s="3" t="s">
        <v>57</v>
      </c>
      <c r="E837" s="3" t="s">
        <v>22</v>
      </c>
      <c r="F837" s="3" t="s">
        <v>2552</v>
      </c>
      <c r="G837" s="3" t="s">
        <v>3914</v>
      </c>
      <c r="H837" s="7">
        <v>44728</v>
      </c>
      <c r="I837" s="6">
        <v>42400</v>
      </c>
      <c r="J837" s="6">
        <v>7632</v>
      </c>
      <c r="K837" s="4">
        <v>96020030</v>
      </c>
      <c r="L837" s="3"/>
      <c r="M837" s="3" t="s">
        <v>2550</v>
      </c>
      <c r="N837" s="5">
        <f t="shared" si="13"/>
        <v>18</v>
      </c>
    </row>
    <row r="838" spans="1:14" ht="14.4" x14ac:dyDescent="0.3">
      <c r="A838" s="3" t="s">
        <v>2553</v>
      </c>
      <c r="B838" s="3" t="s">
        <v>444</v>
      </c>
      <c r="C838" s="3" t="s">
        <v>270</v>
      </c>
      <c r="D838" s="3" t="s">
        <v>445</v>
      </c>
      <c r="E838" s="3" t="s">
        <v>22</v>
      </c>
      <c r="F838" s="3" t="s">
        <v>2554</v>
      </c>
      <c r="G838" s="3" t="s">
        <v>3915</v>
      </c>
      <c r="H838" s="7">
        <v>44727</v>
      </c>
      <c r="I838" s="6">
        <v>91100</v>
      </c>
      <c r="J838" s="6">
        <v>16398</v>
      </c>
      <c r="K838" s="4">
        <v>35051010</v>
      </c>
      <c r="L838" s="3" t="s">
        <v>447</v>
      </c>
      <c r="M838" s="3" t="s">
        <v>36</v>
      </c>
      <c r="N838" s="5">
        <f t="shared" si="13"/>
        <v>18</v>
      </c>
    </row>
    <row r="839" spans="1:14" ht="14.4" x14ac:dyDescent="0.3">
      <c r="A839" s="3" t="s">
        <v>2555</v>
      </c>
      <c r="B839" s="3" t="s">
        <v>394</v>
      </c>
      <c r="C839" s="3" t="s">
        <v>26</v>
      </c>
      <c r="D839" s="3" t="s">
        <v>95</v>
      </c>
      <c r="E839" s="3" t="s">
        <v>22</v>
      </c>
      <c r="F839" s="3" t="s">
        <v>2556</v>
      </c>
      <c r="G839" s="3" t="s">
        <v>3916</v>
      </c>
      <c r="H839" s="7">
        <v>44718</v>
      </c>
      <c r="I839" s="6">
        <v>92325.89</v>
      </c>
      <c r="J839" s="6">
        <v>16618.66</v>
      </c>
      <c r="K839" s="4">
        <v>48192090</v>
      </c>
      <c r="L839" s="3" t="s">
        <v>97</v>
      </c>
      <c r="M839" s="3" t="s">
        <v>36</v>
      </c>
      <c r="N839" s="5">
        <f t="shared" si="13"/>
        <v>17.99999978337604</v>
      </c>
    </row>
    <row r="840" spans="1:14" ht="14.4" x14ac:dyDescent="0.3">
      <c r="A840" s="3" t="s">
        <v>2557</v>
      </c>
      <c r="B840" s="3" t="s">
        <v>534</v>
      </c>
      <c r="C840" s="3" t="s">
        <v>535</v>
      </c>
      <c r="D840" s="3" t="s">
        <v>536</v>
      </c>
      <c r="E840" s="3" t="s">
        <v>378</v>
      </c>
      <c r="F840" s="3" t="s">
        <v>2558</v>
      </c>
      <c r="G840" s="3" t="s">
        <v>3917</v>
      </c>
      <c r="H840" s="7">
        <v>44718</v>
      </c>
      <c r="I840" s="6">
        <v>420000</v>
      </c>
      <c r="J840" s="6">
        <v>75600</v>
      </c>
      <c r="K840" s="4">
        <v>29333990</v>
      </c>
      <c r="L840" s="3"/>
      <c r="M840" s="3" t="s">
        <v>2559</v>
      </c>
      <c r="N840" s="5">
        <f t="shared" si="13"/>
        <v>18</v>
      </c>
    </row>
    <row r="841" spans="1:14" ht="14.4" x14ac:dyDescent="0.3">
      <c r="A841" s="3" t="s">
        <v>2560</v>
      </c>
      <c r="B841" s="3" t="s">
        <v>394</v>
      </c>
      <c r="C841" s="3" t="s">
        <v>26</v>
      </c>
      <c r="D841" s="3" t="s">
        <v>95</v>
      </c>
      <c r="E841" s="3" t="s">
        <v>22</v>
      </c>
      <c r="F841" s="3" t="s">
        <v>2561</v>
      </c>
      <c r="G841" s="3" t="s">
        <v>3918</v>
      </c>
      <c r="H841" s="7">
        <v>44716</v>
      </c>
      <c r="I841" s="6">
        <v>220103.1</v>
      </c>
      <c r="J841" s="6">
        <v>37890.86</v>
      </c>
      <c r="K841" s="4">
        <v>48192090</v>
      </c>
      <c r="L841" s="3" t="s">
        <v>97</v>
      </c>
      <c r="M841" s="3" t="s">
        <v>107</v>
      </c>
      <c r="N841" s="5">
        <f t="shared" si="13"/>
        <v>17.215050583113094</v>
      </c>
    </row>
    <row r="842" spans="1:14" ht="14.4" x14ac:dyDescent="0.3">
      <c r="A842" s="3" t="s">
        <v>2562</v>
      </c>
      <c r="B842" s="3" t="s">
        <v>394</v>
      </c>
      <c r="C842" s="3" t="s">
        <v>26</v>
      </c>
      <c r="D842" s="3" t="s">
        <v>95</v>
      </c>
      <c r="E842" s="3" t="s">
        <v>22</v>
      </c>
      <c r="F842" s="3" t="s">
        <v>2563</v>
      </c>
      <c r="G842" s="3" t="s">
        <v>3919</v>
      </c>
      <c r="H842" s="7">
        <v>44715</v>
      </c>
      <c r="I842" s="6">
        <v>84749.5</v>
      </c>
      <c r="J842" s="6">
        <v>15254.92</v>
      </c>
      <c r="K842" s="4">
        <v>48192090</v>
      </c>
      <c r="L842" s="3" t="s">
        <v>97</v>
      </c>
      <c r="M842" s="3" t="s">
        <v>59</v>
      </c>
      <c r="N842" s="5">
        <f t="shared" si="13"/>
        <v>18.000011799479644</v>
      </c>
    </row>
    <row r="843" spans="1:14" ht="14.4" x14ac:dyDescent="0.3">
      <c r="A843" s="3" t="s">
        <v>2564</v>
      </c>
      <c r="B843" s="3" t="s">
        <v>1918</v>
      </c>
      <c r="C843" s="3" t="s">
        <v>20</v>
      </c>
      <c r="D843" s="3" t="s">
        <v>112</v>
      </c>
      <c r="E843" s="3" t="s">
        <v>22</v>
      </c>
      <c r="F843" s="3" t="s">
        <v>2565</v>
      </c>
      <c r="G843" s="3">
        <v>497</v>
      </c>
      <c r="H843" s="7">
        <v>44715</v>
      </c>
      <c r="I843" s="6">
        <v>318681</v>
      </c>
      <c r="J843" s="6">
        <v>57362.58</v>
      </c>
      <c r="K843" s="4">
        <v>48192020</v>
      </c>
      <c r="L843" s="3"/>
      <c r="M843" s="3" t="s">
        <v>2566</v>
      </c>
      <c r="N843" s="5">
        <f t="shared" si="13"/>
        <v>18</v>
      </c>
    </row>
    <row r="844" spans="1:14" ht="14.4" x14ac:dyDescent="0.3">
      <c r="A844" s="3" t="s">
        <v>2567</v>
      </c>
      <c r="B844" s="3" t="s">
        <v>186</v>
      </c>
      <c r="C844" s="3" t="s">
        <v>187</v>
      </c>
      <c r="D844" s="3" t="s">
        <v>39</v>
      </c>
      <c r="E844" s="3" t="s">
        <v>188</v>
      </c>
      <c r="F844" s="3" t="s">
        <v>2568</v>
      </c>
      <c r="G844" s="3" t="s">
        <v>3920</v>
      </c>
      <c r="H844" s="7">
        <v>44714</v>
      </c>
      <c r="I844" s="6">
        <v>44323.199999999997</v>
      </c>
      <c r="J844" s="6">
        <v>7978.18</v>
      </c>
      <c r="K844" s="4">
        <v>39233090</v>
      </c>
      <c r="L844" s="3" t="s">
        <v>2569</v>
      </c>
      <c r="M844" s="3" t="s">
        <v>92</v>
      </c>
      <c r="N844" s="5">
        <f t="shared" si="13"/>
        <v>18.000009024619164</v>
      </c>
    </row>
    <row r="845" spans="1:14" ht="14.4" x14ac:dyDescent="0.3">
      <c r="A845" s="3" t="s">
        <v>2570</v>
      </c>
      <c r="B845" s="3" t="s">
        <v>1855</v>
      </c>
      <c r="C845" s="3" t="s">
        <v>1856</v>
      </c>
      <c r="D845" s="3" t="s">
        <v>15</v>
      </c>
      <c r="E845" s="3" t="s">
        <v>15</v>
      </c>
      <c r="F845" s="3" t="s">
        <v>2571</v>
      </c>
      <c r="G845" s="3">
        <v>2365</v>
      </c>
      <c r="H845" s="7">
        <v>44713</v>
      </c>
      <c r="I845" s="6">
        <v>350165.22</v>
      </c>
      <c r="J845" s="6">
        <v>63029.760000000002</v>
      </c>
      <c r="K845" s="4">
        <v>72107000</v>
      </c>
      <c r="L845" s="3" t="s">
        <v>2572</v>
      </c>
      <c r="M845" s="3" t="s">
        <v>2573</v>
      </c>
      <c r="N845" s="5">
        <f t="shared" si="13"/>
        <v>18.000005825821308</v>
      </c>
    </row>
    <row r="846" spans="1:14" ht="14.4" x14ac:dyDescent="0.3">
      <c r="A846" s="3" t="s">
        <v>2574</v>
      </c>
      <c r="B846" s="3" t="s">
        <v>1918</v>
      </c>
      <c r="C846" s="3" t="s">
        <v>20</v>
      </c>
      <c r="D846" s="3" t="s">
        <v>112</v>
      </c>
      <c r="E846" s="3" t="s">
        <v>22</v>
      </c>
      <c r="F846" s="3" t="s">
        <v>2575</v>
      </c>
      <c r="G846" s="3">
        <v>499</v>
      </c>
      <c r="H846" s="7">
        <v>44715</v>
      </c>
      <c r="I846" s="6">
        <v>25215</v>
      </c>
      <c r="J846" s="6">
        <v>4538.7</v>
      </c>
      <c r="K846" s="4">
        <v>48211020</v>
      </c>
      <c r="L846" s="3"/>
      <c r="M846" s="3" t="s">
        <v>2566</v>
      </c>
      <c r="N846" s="5">
        <f t="shared" si="13"/>
        <v>18</v>
      </c>
    </row>
    <row r="847" spans="1:14" ht="14.4" x14ac:dyDescent="0.3">
      <c r="A847" s="3" t="s">
        <v>2576</v>
      </c>
      <c r="B847" s="3" t="s">
        <v>2577</v>
      </c>
      <c r="C847" s="3" t="s">
        <v>20</v>
      </c>
      <c r="D847" s="3" t="s">
        <v>112</v>
      </c>
      <c r="E847" s="3" t="s">
        <v>22</v>
      </c>
      <c r="F847" s="3" t="s">
        <v>2578</v>
      </c>
      <c r="G847" s="3">
        <v>191</v>
      </c>
      <c r="H847" s="7">
        <v>44715</v>
      </c>
      <c r="I847" s="6">
        <v>18644.7</v>
      </c>
      <c r="J847" s="6">
        <v>3356.04</v>
      </c>
      <c r="K847" s="4">
        <v>48191010</v>
      </c>
      <c r="L847" s="3"/>
      <c r="M847" s="3" t="s">
        <v>2566</v>
      </c>
      <c r="N847" s="5">
        <f t="shared" si="13"/>
        <v>17.999967819273035</v>
      </c>
    </row>
    <row r="848" spans="1:14" ht="14.4" x14ac:dyDescent="0.3">
      <c r="A848" s="3" t="s">
        <v>2579</v>
      </c>
      <c r="B848" s="3" t="s">
        <v>155</v>
      </c>
      <c r="C848" s="3" t="s">
        <v>20</v>
      </c>
      <c r="D848" s="3" t="s">
        <v>156</v>
      </c>
      <c r="E848" s="3" t="s">
        <v>22</v>
      </c>
      <c r="F848" s="3" t="s">
        <v>2580</v>
      </c>
      <c r="G848" s="3" t="s">
        <v>3921</v>
      </c>
      <c r="H848" s="7">
        <v>44713</v>
      </c>
      <c r="I848" s="6">
        <v>75859.5</v>
      </c>
      <c r="J848" s="6">
        <v>13654.72</v>
      </c>
      <c r="K848" s="4">
        <v>48191010</v>
      </c>
      <c r="L848" s="3" t="s">
        <v>2581</v>
      </c>
      <c r="M848" s="3" t="s">
        <v>159</v>
      </c>
      <c r="N848" s="5">
        <f t="shared" si="13"/>
        <v>18.000013182264581</v>
      </c>
    </row>
    <row r="849" spans="1:14" ht="14.4" x14ac:dyDescent="0.3">
      <c r="A849" s="3" t="s">
        <v>2582</v>
      </c>
      <c r="B849" s="3" t="s">
        <v>1918</v>
      </c>
      <c r="C849" s="3" t="s">
        <v>20</v>
      </c>
      <c r="D849" s="3" t="s">
        <v>112</v>
      </c>
      <c r="E849" s="3" t="s">
        <v>22</v>
      </c>
      <c r="F849" s="3" t="s">
        <v>2583</v>
      </c>
      <c r="G849" s="3">
        <v>706</v>
      </c>
      <c r="H849" s="7">
        <v>44741</v>
      </c>
      <c r="I849" s="6">
        <v>7980</v>
      </c>
      <c r="J849" s="6">
        <v>399</v>
      </c>
      <c r="K849" s="4">
        <v>49011020</v>
      </c>
      <c r="L849" s="3"/>
      <c r="M849" s="3" t="s">
        <v>2584</v>
      </c>
      <c r="N849" s="5">
        <f t="shared" si="13"/>
        <v>5</v>
      </c>
    </row>
    <row r="850" spans="1:14" ht="14.4" x14ac:dyDescent="0.3">
      <c r="A850" s="3" t="s">
        <v>2585</v>
      </c>
      <c r="B850" s="3" t="s">
        <v>1918</v>
      </c>
      <c r="C850" s="3" t="s">
        <v>20</v>
      </c>
      <c r="D850" s="3" t="s">
        <v>112</v>
      </c>
      <c r="E850" s="3" t="s">
        <v>22</v>
      </c>
      <c r="F850" s="3" t="s">
        <v>2586</v>
      </c>
      <c r="G850" s="3">
        <v>705</v>
      </c>
      <c r="H850" s="7">
        <v>44741</v>
      </c>
      <c r="I850" s="6">
        <v>53120</v>
      </c>
      <c r="J850" s="6">
        <v>9561.6</v>
      </c>
      <c r="K850" s="4">
        <v>48211020</v>
      </c>
      <c r="L850" s="3"/>
      <c r="M850" s="3" t="s">
        <v>2584</v>
      </c>
      <c r="N850" s="5">
        <f t="shared" si="13"/>
        <v>18</v>
      </c>
    </row>
    <row r="851" spans="1:14" ht="14.4" x14ac:dyDescent="0.3">
      <c r="A851" s="3" t="s">
        <v>2587</v>
      </c>
      <c r="B851" s="3" t="s">
        <v>161</v>
      </c>
      <c r="C851" s="3" t="s">
        <v>56</v>
      </c>
      <c r="D851" s="3" t="s">
        <v>57</v>
      </c>
      <c r="E851" s="3" t="s">
        <v>162</v>
      </c>
      <c r="F851" s="3" t="s">
        <v>2588</v>
      </c>
      <c r="G851" s="3" t="s">
        <v>3922</v>
      </c>
      <c r="H851" s="7">
        <v>44739</v>
      </c>
      <c r="I851" s="6">
        <v>409954.88</v>
      </c>
      <c r="J851" s="6">
        <v>73791.88</v>
      </c>
      <c r="K851" s="4">
        <v>29420090</v>
      </c>
      <c r="L851" s="3" t="s">
        <v>260</v>
      </c>
      <c r="M851" s="3" t="s">
        <v>2589</v>
      </c>
      <c r="N851" s="5">
        <f t="shared" si="13"/>
        <v>18.000000390286854</v>
      </c>
    </row>
    <row r="852" spans="1:14" ht="14.4" x14ac:dyDescent="0.3">
      <c r="A852" s="3" t="s">
        <v>2590</v>
      </c>
      <c r="B852" s="3" t="s">
        <v>1516</v>
      </c>
      <c r="C852" s="3" t="s">
        <v>26</v>
      </c>
      <c r="D852" s="3" t="s">
        <v>1517</v>
      </c>
      <c r="E852" s="3" t="s">
        <v>1518</v>
      </c>
      <c r="F852" s="3" t="s">
        <v>2591</v>
      </c>
      <c r="G852" s="3">
        <v>1210398</v>
      </c>
      <c r="H852" s="7">
        <v>44739</v>
      </c>
      <c r="I852" s="6">
        <v>907500</v>
      </c>
      <c r="J852" s="6"/>
      <c r="K852" s="4">
        <v>29419090</v>
      </c>
      <c r="L852" s="3" t="s">
        <v>1614</v>
      </c>
      <c r="M852" s="3" t="s">
        <v>1615</v>
      </c>
      <c r="N852" s="5">
        <f t="shared" si="13"/>
        <v>0</v>
      </c>
    </row>
    <row r="853" spans="1:14" ht="14.4" x14ac:dyDescent="0.3">
      <c r="A853" s="3" t="s">
        <v>2592</v>
      </c>
      <c r="B853" s="3" t="s">
        <v>155</v>
      </c>
      <c r="C853" s="3" t="s">
        <v>20</v>
      </c>
      <c r="D853" s="3" t="s">
        <v>156</v>
      </c>
      <c r="E853" s="3" t="s">
        <v>22</v>
      </c>
      <c r="F853" s="3" t="s">
        <v>2593</v>
      </c>
      <c r="G853" s="3" t="s">
        <v>3923</v>
      </c>
      <c r="H853" s="7">
        <v>44738</v>
      </c>
      <c r="I853" s="6">
        <v>54442.65</v>
      </c>
      <c r="J853" s="6">
        <v>9799.68</v>
      </c>
      <c r="K853" s="4">
        <v>48191010</v>
      </c>
      <c r="L853" s="3" t="s">
        <v>2594</v>
      </c>
      <c r="M853" s="3" t="s">
        <v>159</v>
      </c>
      <c r="N853" s="5">
        <f t="shared" si="13"/>
        <v>18.000005510385698</v>
      </c>
    </row>
    <row r="854" spans="1:14" ht="14.4" x14ac:dyDescent="0.3">
      <c r="A854" s="3" t="s">
        <v>2595</v>
      </c>
      <c r="B854" s="3" t="s">
        <v>433</v>
      </c>
      <c r="C854" s="3" t="s">
        <v>20</v>
      </c>
      <c r="D854" s="3" t="s">
        <v>156</v>
      </c>
      <c r="E854" s="3" t="s">
        <v>22</v>
      </c>
      <c r="F854" s="3" t="s">
        <v>2596</v>
      </c>
      <c r="G854" s="3" t="s">
        <v>3924</v>
      </c>
      <c r="H854" s="7">
        <v>44735</v>
      </c>
      <c r="I854" s="6">
        <v>78783.06</v>
      </c>
      <c r="J854" s="6">
        <v>14180.96</v>
      </c>
      <c r="K854" s="4">
        <v>7607</v>
      </c>
      <c r="L854" s="3" t="s">
        <v>435</v>
      </c>
      <c r="M854" s="3" t="s">
        <v>436</v>
      </c>
      <c r="N854" s="5">
        <f t="shared" si="13"/>
        <v>18.0000116776373</v>
      </c>
    </row>
    <row r="855" spans="1:14" ht="14.4" x14ac:dyDescent="0.3">
      <c r="A855" s="3" t="s">
        <v>2597</v>
      </c>
      <c r="B855" s="3" t="s">
        <v>394</v>
      </c>
      <c r="C855" s="3" t="s">
        <v>26</v>
      </c>
      <c r="D855" s="3" t="s">
        <v>95</v>
      </c>
      <c r="E855" s="3" t="s">
        <v>22</v>
      </c>
      <c r="F855" s="3" t="s">
        <v>2598</v>
      </c>
      <c r="G855" s="3" t="s">
        <v>3925</v>
      </c>
      <c r="H855" s="7">
        <v>44735</v>
      </c>
      <c r="I855" s="6">
        <v>38398.33</v>
      </c>
      <c r="J855" s="6">
        <v>6911.7</v>
      </c>
      <c r="K855" s="4">
        <v>48192090</v>
      </c>
      <c r="L855" s="3" t="s">
        <v>97</v>
      </c>
      <c r="M855" s="3" t="s">
        <v>467</v>
      </c>
      <c r="N855" s="5">
        <f t="shared" si="13"/>
        <v>18.000001562567956</v>
      </c>
    </row>
    <row r="856" spans="1:14" ht="14.4" x14ac:dyDescent="0.3">
      <c r="A856" s="3" t="s">
        <v>2599</v>
      </c>
      <c r="B856" s="3" t="s">
        <v>394</v>
      </c>
      <c r="C856" s="3" t="s">
        <v>26</v>
      </c>
      <c r="D856" s="3" t="s">
        <v>95</v>
      </c>
      <c r="E856" s="3" t="s">
        <v>22</v>
      </c>
      <c r="F856" s="3" t="s">
        <v>2600</v>
      </c>
      <c r="G856" s="3" t="s">
        <v>3926</v>
      </c>
      <c r="H856" s="7">
        <v>44734</v>
      </c>
      <c r="I856" s="6">
        <v>63022</v>
      </c>
      <c r="J856" s="6">
        <v>11343.96</v>
      </c>
      <c r="K856" s="4">
        <v>48192090</v>
      </c>
      <c r="L856" s="3" t="s">
        <v>97</v>
      </c>
      <c r="M856" s="3" t="s">
        <v>32</v>
      </c>
      <c r="N856" s="5">
        <f t="shared" si="13"/>
        <v>18</v>
      </c>
    </row>
    <row r="857" spans="1:14" ht="14.4" x14ac:dyDescent="0.3">
      <c r="A857" s="3" t="s">
        <v>2601</v>
      </c>
      <c r="B857" s="3" t="s">
        <v>1822</v>
      </c>
      <c r="C857" s="3" t="s">
        <v>20</v>
      </c>
      <c r="D857" s="3" t="s">
        <v>1011</v>
      </c>
      <c r="E857" s="3" t="s">
        <v>22</v>
      </c>
      <c r="F857" s="3" t="s">
        <v>2602</v>
      </c>
      <c r="G857" s="3" t="s">
        <v>3927</v>
      </c>
      <c r="H857" s="7">
        <v>44733</v>
      </c>
      <c r="I857" s="6">
        <v>46502.8</v>
      </c>
      <c r="J857" s="6">
        <v>8370.5</v>
      </c>
      <c r="K857" s="4">
        <v>7607</v>
      </c>
      <c r="L857" s="3" t="s">
        <v>1884</v>
      </c>
      <c r="M857" s="3" t="s">
        <v>32</v>
      </c>
      <c r="N857" s="5">
        <f t="shared" si="13"/>
        <v>17.99999139836741</v>
      </c>
    </row>
    <row r="858" spans="1:14" ht="14.4" x14ac:dyDescent="0.3">
      <c r="A858" s="3" t="s">
        <v>2603</v>
      </c>
      <c r="B858" s="3" t="s">
        <v>55</v>
      </c>
      <c r="C858" s="3" t="s">
        <v>56</v>
      </c>
      <c r="D858" s="3" t="s">
        <v>57</v>
      </c>
      <c r="E858" s="3" t="s">
        <v>22</v>
      </c>
      <c r="F858" s="3" t="s">
        <v>2604</v>
      </c>
      <c r="G858" s="3" t="s">
        <v>3928</v>
      </c>
      <c r="H858" s="7">
        <v>44733</v>
      </c>
      <c r="I858" s="6">
        <v>43200</v>
      </c>
      <c r="J858" s="6">
        <v>7776</v>
      </c>
      <c r="K858" s="4">
        <v>29333990</v>
      </c>
      <c r="L858" s="3"/>
      <c r="M858" s="3" t="s">
        <v>107</v>
      </c>
      <c r="N858" s="5">
        <f t="shared" si="13"/>
        <v>18</v>
      </c>
    </row>
    <row r="859" spans="1:14" ht="14.4" x14ac:dyDescent="0.3">
      <c r="A859" s="3" t="s">
        <v>2605</v>
      </c>
      <c r="B859" s="3" t="s">
        <v>394</v>
      </c>
      <c r="C859" s="3" t="s">
        <v>26</v>
      </c>
      <c r="D859" s="3" t="s">
        <v>95</v>
      </c>
      <c r="E859" s="3" t="s">
        <v>22</v>
      </c>
      <c r="F859" s="3" t="s">
        <v>2606</v>
      </c>
      <c r="G859" s="3" t="s">
        <v>3929</v>
      </c>
      <c r="H859" s="7">
        <v>44732</v>
      </c>
      <c r="I859" s="6">
        <v>110710.2</v>
      </c>
      <c r="J859" s="6">
        <v>19927.84</v>
      </c>
      <c r="K859" s="4">
        <v>48192090</v>
      </c>
      <c r="L859" s="3" t="s">
        <v>97</v>
      </c>
      <c r="M859" s="3" t="s">
        <v>36</v>
      </c>
      <c r="N859" s="5">
        <f t="shared" si="13"/>
        <v>18.000003613036558</v>
      </c>
    </row>
    <row r="860" spans="1:14" ht="14.4" x14ac:dyDescent="0.3">
      <c r="A860" s="3" t="s">
        <v>2607</v>
      </c>
      <c r="B860" s="3" t="s">
        <v>182</v>
      </c>
      <c r="C860" s="3" t="s">
        <v>20</v>
      </c>
      <c r="D860" s="3" t="s">
        <v>167</v>
      </c>
      <c r="E860" s="3" t="s">
        <v>22</v>
      </c>
      <c r="F860" s="3" t="s">
        <v>2608</v>
      </c>
      <c r="G860" s="3" t="s">
        <v>3930</v>
      </c>
      <c r="H860" s="7">
        <v>44732</v>
      </c>
      <c r="I860" s="6">
        <v>163500</v>
      </c>
      <c r="J860" s="6">
        <v>29430</v>
      </c>
      <c r="K860" s="4">
        <v>39059990</v>
      </c>
      <c r="L860" s="3" t="s">
        <v>2609</v>
      </c>
      <c r="M860" s="3" t="s">
        <v>36</v>
      </c>
      <c r="N860" s="5">
        <f t="shared" si="13"/>
        <v>18</v>
      </c>
    </row>
    <row r="861" spans="1:14" ht="14.4" x14ac:dyDescent="0.3">
      <c r="A861" s="3" t="s">
        <v>2610</v>
      </c>
      <c r="B861" s="3" t="s">
        <v>25</v>
      </c>
      <c r="C861" s="3" t="s">
        <v>26</v>
      </c>
      <c r="D861" s="3" t="s">
        <v>27</v>
      </c>
      <c r="E861" s="3" t="s">
        <v>28</v>
      </c>
      <c r="F861" s="3" t="s">
        <v>2611</v>
      </c>
      <c r="G861" s="3" t="s">
        <v>3931</v>
      </c>
      <c r="H861" s="7">
        <v>44730</v>
      </c>
      <c r="I861" s="6">
        <v>1462500</v>
      </c>
      <c r="J861" s="6">
        <v>263250</v>
      </c>
      <c r="K861" s="4">
        <v>29420090</v>
      </c>
      <c r="L861" s="3" t="s">
        <v>552</v>
      </c>
      <c r="M861" s="3" t="s">
        <v>675</v>
      </c>
      <c r="N861" s="5">
        <f t="shared" si="13"/>
        <v>18</v>
      </c>
    </row>
    <row r="862" spans="1:14" ht="14.4" x14ac:dyDescent="0.3">
      <c r="A862" s="3" t="s">
        <v>2612</v>
      </c>
      <c r="B862" s="3" t="s">
        <v>166</v>
      </c>
      <c r="C862" s="3" t="s">
        <v>20</v>
      </c>
      <c r="D862" s="3" t="s">
        <v>1055</v>
      </c>
      <c r="E862" s="3" t="s">
        <v>22</v>
      </c>
      <c r="F862" s="3" t="s">
        <v>2613</v>
      </c>
      <c r="G862" s="3">
        <v>161</v>
      </c>
      <c r="H862" s="7">
        <v>44730</v>
      </c>
      <c r="I862" s="6">
        <v>67893</v>
      </c>
      <c r="J862" s="6">
        <v>12220.74</v>
      </c>
      <c r="K862" s="4">
        <v>76072090</v>
      </c>
      <c r="L862" s="3" t="s">
        <v>2193</v>
      </c>
      <c r="M862" s="3" t="s">
        <v>675</v>
      </c>
      <c r="N862" s="5">
        <f t="shared" si="13"/>
        <v>18</v>
      </c>
    </row>
    <row r="863" spans="1:14" ht="14.4" x14ac:dyDescent="0.3">
      <c r="A863" s="3" t="s">
        <v>2614</v>
      </c>
      <c r="B863" s="3" t="s">
        <v>84</v>
      </c>
      <c r="C863" s="3" t="s">
        <v>20</v>
      </c>
      <c r="D863" s="3" t="s">
        <v>239</v>
      </c>
      <c r="E863" s="3" t="s">
        <v>22</v>
      </c>
      <c r="F863" s="3" t="s">
        <v>2615</v>
      </c>
      <c r="G863" s="3" t="s">
        <v>3932</v>
      </c>
      <c r="H863" s="7">
        <v>44728</v>
      </c>
      <c r="I863" s="6">
        <v>85244.800000000003</v>
      </c>
      <c r="J863" s="6">
        <v>15344.06</v>
      </c>
      <c r="K863" s="4">
        <v>3921</v>
      </c>
      <c r="L863" s="3" t="s">
        <v>118</v>
      </c>
      <c r="M863" s="3" t="s">
        <v>1261</v>
      </c>
      <c r="N863" s="5">
        <f t="shared" si="13"/>
        <v>17.999995307631668</v>
      </c>
    </row>
    <row r="864" spans="1:14" ht="14.4" x14ac:dyDescent="0.3">
      <c r="A864" s="3" t="s">
        <v>2616</v>
      </c>
      <c r="B864" s="3" t="s">
        <v>2617</v>
      </c>
      <c r="C864" s="3" t="s">
        <v>20</v>
      </c>
      <c r="D864" s="3" t="s">
        <v>156</v>
      </c>
      <c r="E864" s="3" t="s">
        <v>22</v>
      </c>
      <c r="F864" s="3" t="s">
        <v>2618</v>
      </c>
      <c r="G864" s="3" t="s">
        <v>3933</v>
      </c>
      <c r="H864" s="7">
        <v>44730</v>
      </c>
      <c r="I864" s="6">
        <v>44338.400000000001</v>
      </c>
      <c r="J864" s="6">
        <v>7980.92</v>
      </c>
      <c r="K864" s="4">
        <v>4819</v>
      </c>
      <c r="L864" s="3"/>
      <c r="M864" s="3" t="s">
        <v>1576</v>
      </c>
      <c r="N864" s="5">
        <f t="shared" si="13"/>
        <v>18.000018043050719</v>
      </c>
    </row>
    <row r="865" spans="1:14" ht="14.4" x14ac:dyDescent="0.3">
      <c r="A865" s="3" t="s">
        <v>2619</v>
      </c>
      <c r="B865" s="3" t="s">
        <v>1918</v>
      </c>
      <c r="C865" s="3" t="s">
        <v>20</v>
      </c>
      <c r="D865" s="3" t="s">
        <v>112</v>
      </c>
      <c r="E865" s="3" t="s">
        <v>22</v>
      </c>
      <c r="F865" s="3" t="s">
        <v>2620</v>
      </c>
      <c r="G865" s="3">
        <v>615</v>
      </c>
      <c r="H865" s="7">
        <v>44729</v>
      </c>
      <c r="I865" s="6">
        <v>123796</v>
      </c>
      <c r="J865" s="6">
        <v>22283.279999999999</v>
      </c>
      <c r="K865" s="4">
        <v>48192020</v>
      </c>
      <c r="L865" s="3"/>
      <c r="M865" s="3" t="s">
        <v>2621</v>
      </c>
      <c r="N865" s="5">
        <f t="shared" si="13"/>
        <v>18</v>
      </c>
    </row>
    <row r="866" spans="1:14" ht="14.4" x14ac:dyDescent="0.3">
      <c r="A866" s="3" t="s">
        <v>2622</v>
      </c>
      <c r="B866" s="3" t="s">
        <v>394</v>
      </c>
      <c r="C866" s="3" t="s">
        <v>26</v>
      </c>
      <c r="D866" s="3" t="s">
        <v>95</v>
      </c>
      <c r="E866" s="3" t="s">
        <v>22</v>
      </c>
      <c r="F866" s="3" t="s">
        <v>2623</v>
      </c>
      <c r="G866" s="3" t="s">
        <v>3934</v>
      </c>
      <c r="H866" s="7">
        <v>44729</v>
      </c>
      <c r="I866" s="6">
        <v>53495.75</v>
      </c>
      <c r="J866" s="6">
        <v>9629.24</v>
      </c>
      <c r="K866" s="4">
        <v>48192090</v>
      </c>
      <c r="L866" s="3" t="s">
        <v>97</v>
      </c>
      <c r="M866" s="3" t="s">
        <v>36</v>
      </c>
      <c r="N866" s="5">
        <f t="shared" si="13"/>
        <v>18.000009346536874</v>
      </c>
    </row>
    <row r="867" spans="1:14" ht="14.4" x14ac:dyDescent="0.3">
      <c r="A867" s="3" t="s">
        <v>2624</v>
      </c>
      <c r="B867" s="3" t="s">
        <v>182</v>
      </c>
      <c r="C867" s="3" t="s">
        <v>20</v>
      </c>
      <c r="D867" s="3" t="s">
        <v>167</v>
      </c>
      <c r="E867" s="3" t="s">
        <v>22</v>
      </c>
      <c r="F867" s="3" t="s">
        <v>2625</v>
      </c>
      <c r="G867" s="3" t="s">
        <v>3935</v>
      </c>
      <c r="H867" s="7">
        <v>44729</v>
      </c>
      <c r="I867" s="6">
        <v>88000</v>
      </c>
      <c r="J867" s="6">
        <v>15840</v>
      </c>
      <c r="K867" s="4">
        <v>29362940</v>
      </c>
      <c r="L867" s="3" t="s">
        <v>2626</v>
      </c>
      <c r="M867" s="3" t="s">
        <v>36</v>
      </c>
      <c r="N867" s="5">
        <f t="shared" si="13"/>
        <v>18</v>
      </c>
    </row>
    <row r="868" spans="1:14" ht="14.4" x14ac:dyDescent="0.3">
      <c r="A868" s="3" t="s">
        <v>2627</v>
      </c>
      <c r="B868" s="3" t="s">
        <v>55</v>
      </c>
      <c r="C868" s="3" t="s">
        <v>56</v>
      </c>
      <c r="D868" s="3" t="s">
        <v>57</v>
      </c>
      <c r="E868" s="3" t="s">
        <v>22</v>
      </c>
      <c r="F868" s="3" t="s">
        <v>2628</v>
      </c>
      <c r="G868" s="3" t="s">
        <v>3936</v>
      </c>
      <c r="H868" s="7">
        <v>44728</v>
      </c>
      <c r="I868" s="6">
        <v>148160</v>
      </c>
      <c r="J868" s="6">
        <v>26668.799999999999</v>
      </c>
      <c r="K868" s="4">
        <v>96020030</v>
      </c>
      <c r="L868" s="3"/>
      <c r="M868" s="3" t="s">
        <v>2550</v>
      </c>
      <c r="N868" s="5">
        <f t="shared" si="13"/>
        <v>18</v>
      </c>
    </row>
    <row r="869" spans="1:14" ht="14.4" x14ac:dyDescent="0.3">
      <c r="A869" s="3" t="s">
        <v>2629</v>
      </c>
      <c r="B869" s="3" t="s">
        <v>161</v>
      </c>
      <c r="C869" s="3" t="s">
        <v>56</v>
      </c>
      <c r="D869" s="3" t="s">
        <v>57</v>
      </c>
      <c r="E869" s="3" t="s">
        <v>162</v>
      </c>
      <c r="F869" s="3" t="s">
        <v>2630</v>
      </c>
      <c r="G869" s="3" t="s">
        <v>3937</v>
      </c>
      <c r="H869" s="7">
        <v>44728</v>
      </c>
      <c r="I869" s="6">
        <v>1070535</v>
      </c>
      <c r="J869" s="6">
        <v>192696.3</v>
      </c>
      <c r="K869" s="4">
        <v>29222933</v>
      </c>
      <c r="L869" s="3" t="s">
        <v>540</v>
      </c>
      <c r="M869" s="3" t="s">
        <v>2631</v>
      </c>
      <c r="N869" s="5">
        <f t="shared" si="13"/>
        <v>18</v>
      </c>
    </row>
    <row r="870" spans="1:14" ht="14.4" x14ac:dyDescent="0.3">
      <c r="A870" s="3" t="s">
        <v>2632</v>
      </c>
      <c r="B870" s="3" t="s">
        <v>178</v>
      </c>
      <c r="C870" s="3" t="s">
        <v>20</v>
      </c>
      <c r="D870" s="3" t="s">
        <v>50</v>
      </c>
      <c r="E870" s="3" t="s">
        <v>22</v>
      </c>
      <c r="F870" s="3" t="s">
        <v>2633</v>
      </c>
      <c r="G870" s="3" t="s">
        <v>3938</v>
      </c>
      <c r="H870" s="7">
        <v>44727</v>
      </c>
      <c r="I870" s="6">
        <v>222681</v>
      </c>
      <c r="J870" s="6">
        <v>40082.58</v>
      </c>
      <c r="K870" s="4">
        <v>76072090</v>
      </c>
      <c r="L870" s="3" t="s">
        <v>1153</v>
      </c>
      <c r="M870" s="3" t="s">
        <v>36</v>
      </c>
      <c r="N870" s="5">
        <f t="shared" si="13"/>
        <v>18</v>
      </c>
    </row>
    <row r="871" spans="1:14" ht="14.4" x14ac:dyDescent="0.3">
      <c r="A871" s="3" t="s">
        <v>2634</v>
      </c>
      <c r="B871" s="3" t="s">
        <v>202</v>
      </c>
      <c r="C871" s="3" t="s">
        <v>134</v>
      </c>
      <c r="D871" s="3" t="s">
        <v>203</v>
      </c>
      <c r="E871" s="3" t="s">
        <v>204</v>
      </c>
      <c r="F871" s="3" t="s">
        <v>2635</v>
      </c>
      <c r="G871" s="3" t="s">
        <v>3939</v>
      </c>
      <c r="H871" s="7">
        <v>44727</v>
      </c>
      <c r="I871" s="6">
        <v>853679.9</v>
      </c>
      <c r="J871" s="6">
        <v>153662.38</v>
      </c>
      <c r="K871" s="4">
        <v>76071994</v>
      </c>
      <c r="L871" s="3" t="s">
        <v>206</v>
      </c>
      <c r="M871" s="3"/>
      <c r="N871" s="5">
        <f t="shared" si="13"/>
        <v>17.999999765720148</v>
      </c>
    </row>
    <row r="872" spans="1:14" ht="14.4" x14ac:dyDescent="0.3">
      <c r="A872" s="3" t="s">
        <v>2636</v>
      </c>
      <c r="B872" s="3" t="s">
        <v>409</v>
      </c>
      <c r="C872" s="3" t="s">
        <v>20</v>
      </c>
      <c r="D872" s="3" t="s">
        <v>410</v>
      </c>
      <c r="E872" s="3" t="s">
        <v>22</v>
      </c>
      <c r="F872" s="3" t="s">
        <v>2637</v>
      </c>
      <c r="G872" s="3">
        <v>362</v>
      </c>
      <c r="H872" s="7">
        <v>44725</v>
      </c>
      <c r="I872" s="6">
        <v>90000</v>
      </c>
      <c r="J872" s="6">
        <v>16200</v>
      </c>
      <c r="K872" s="4">
        <v>32050000</v>
      </c>
      <c r="L872" s="3" t="s">
        <v>412</v>
      </c>
      <c r="M872" s="3" t="s">
        <v>549</v>
      </c>
      <c r="N872" s="5">
        <f t="shared" si="13"/>
        <v>18</v>
      </c>
    </row>
    <row r="873" spans="1:14" ht="14.4" x14ac:dyDescent="0.3">
      <c r="A873" s="3" t="s">
        <v>2638</v>
      </c>
      <c r="B873" s="3" t="s">
        <v>534</v>
      </c>
      <c r="C873" s="3" t="s">
        <v>535</v>
      </c>
      <c r="D873" s="3" t="s">
        <v>536</v>
      </c>
      <c r="E873" s="3" t="s">
        <v>378</v>
      </c>
      <c r="F873" s="3" t="s">
        <v>2639</v>
      </c>
      <c r="G873" s="3" t="s">
        <v>3940</v>
      </c>
      <c r="H873" s="7">
        <v>44725</v>
      </c>
      <c r="I873" s="6">
        <v>420000</v>
      </c>
      <c r="J873" s="6">
        <v>75600</v>
      </c>
      <c r="K873" s="4">
        <v>29333990</v>
      </c>
      <c r="L873" s="3"/>
      <c r="M873" s="3" t="s">
        <v>675</v>
      </c>
      <c r="N873" s="5">
        <f t="shared" si="13"/>
        <v>18</v>
      </c>
    </row>
    <row r="874" spans="1:14" ht="14.4" x14ac:dyDescent="0.3">
      <c r="A874" s="3" t="s">
        <v>2640</v>
      </c>
      <c r="B874" s="3" t="s">
        <v>394</v>
      </c>
      <c r="C874" s="3" t="s">
        <v>26</v>
      </c>
      <c r="D874" s="3" t="s">
        <v>95</v>
      </c>
      <c r="E874" s="3" t="s">
        <v>22</v>
      </c>
      <c r="F874" s="3" t="s">
        <v>2641</v>
      </c>
      <c r="G874" s="3" t="s">
        <v>3941</v>
      </c>
      <c r="H874" s="7">
        <v>44722</v>
      </c>
      <c r="I874" s="6">
        <v>57432.45</v>
      </c>
      <c r="J874" s="6">
        <v>10337.84</v>
      </c>
      <c r="K874" s="4">
        <v>48192090</v>
      </c>
      <c r="L874" s="3" t="s">
        <v>97</v>
      </c>
      <c r="M874" s="3" t="s">
        <v>32</v>
      </c>
      <c r="N874" s="5">
        <f t="shared" si="13"/>
        <v>17.999998258824064</v>
      </c>
    </row>
    <row r="875" spans="1:14" ht="14.4" x14ac:dyDescent="0.3">
      <c r="A875" s="3" t="s">
        <v>2642</v>
      </c>
      <c r="B875" s="3" t="s">
        <v>2643</v>
      </c>
      <c r="C875" s="3" t="s">
        <v>946</v>
      </c>
      <c r="D875" s="3" t="s">
        <v>2644</v>
      </c>
      <c r="E875" s="3" t="s">
        <v>22</v>
      </c>
      <c r="F875" s="3" t="s">
        <v>2645</v>
      </c>
      <c r="G875" s="3">
        <v>903</v>
      </c>
      <c r="H875" s="7">
        <v>44723</v>
      </c>
      <c r="I875" s="6">
        <v>58158</v>
      </c>
      <c r="J875" s="6">
        <v>10468.44</v>
      </c>
      <c r="K875" s="4">
        <v>293399</v>
      </c>
      <c r="L875" s="3" t="s">
        <v>2646</v>
      </c>
      <c r="M875" s="3" t="s">
        <v>1590</v>
      </c>
      <c r="N875" s="5">
        <f t="shared" si="13"/>
        <v>18</v>
      </c>
    </row>
    <row r="876" spans="1:14" ht="14.4" x14ac:dyDescent="0.3">
      <c r="A876" s="3" t="s">
        <v>2647</v>
      </c>
      <c r="B876" s="3" t="s">
        <v>1273</v>
      </c>
      <c r="C876" s="3" t="s">
        <v>20</v>
      </c>
      <c r="D876" s="3" t="s">
        <v>156</v>
      </c>
      <c r="E876" s="3" t="s">
        <v>22</v>
      </c>
      <c r="F876" s="3" t="s">
        <v>2648</v>
      </c>
      <c r="G876" s="3" t="s">
        <v>3942</v>
      </c>
      <c r="H876" s="7">
        <v>44720</v>
      </c>
      <c r="I876" s="6">
        <v>51271.5</v>
      </c>
      <c r="J876" s="6">
        <v>9228.8799999999992</v>
      </c>
      <c r="K876" s="4">
        <v>4819</v>
      </c>
      <c r="L876" s="3"/>
      <c r="M876" s="3" t="s">
        <v>1576</v>
      </c>
      <c r="N876" s="5">
        <f t="shared" si="13"/>
        <v>18.000019504012947</v>
      </c>
    </row>
    <row r="877" spans="1:14" ht="14.4" x14ac:dyDescent="0.3">
      <c r="A877" s="3" t="s">
        <v>2649</v>
      </c>
      <c r="B877" s="3" t="s">
        <v>182</v>
      </c>
      <c r="C877" s="3" t="s">
        <v>20</v>
      </c>
      <c r="D877" s="3" t="s">
        <v>167</v>
      </c>
      <c r="E877" s="3" t="s">
        <v>22</v>
      </c>
      <c r="F877" s="3" t="s">
        <v>2650</v>
      </c>
      <c r="G877" s="3" t="s">
        <v>3943</v>
      </c>
      <c r="H877" s="7">
        <v>44719</v>
      </c>
      <c r="I877" s="6">
        <v>158250</v>
      </c>
      <c r="J877" s="6">
        <v>28485</v>
      </c>
      <c r="K877" s="4">
        <v>39129090</v>
      </c>
      <c r="L877" s="3" t="s">
        <v>1028</v>
      </c>
      <c r="M877" s="3" t="s">
        <v>467</v>
      </c>
      <c r="N877" s="5">
        <f t="shared" si="13"/>
        <v>18</v>
      </c>
    </row>
    <row r="878" spans="1:14" ht="14.4" x14ac:dyDescent="0.3">
      <c r="A878" s="3" t="s">
        <v>2651</v>
      </c>
      <c r="B878" s="3" t="s">
        <v>462</v>
      </c>
      <c r="C878" s="3" t="s">
        <v>20</v>
      </c>
      <c r="D878" s="3" t="s">
        <v>50</v>
      </c>
      <c r="E878" s="3" t="s">
        <v>22</v>
      </c>
      <c r="F878" s="3" t="s">
        <v>2652</v>
      </c>
      <c r="G878" s="3" t="s">
        <v>3944</v>
      </c>
      <c r="H878" s="7">
        <v>44716</v>
      </c>
      <c r="I878" s="6">
        <v>45193.2</v>
      </c>
      <c r="J878" s="6">
        <v>8134.78</v>
      </c>
      <c r="K878" s="4">
        <v>7607</v>
      </c>
      <c r="L878" s="3" t="s">
        <v>464</v>
      </c>
      <c r="M878" s="3" t="s">
        <v>107</v>
      </c>
      <c r="N878" s="5">
        <f t="shared" si="13"/>
        <v>18.000008850889074</v>
      </c>
    </row>
    <row r="879" spans="1:14" ht="14.4" x14ac:dyDescent="0.3">
      <c r="A879" s="3" t="s">
        <v>2653</v>
      </c>
      <c r="B879" s="3" t="s">
        <v>1918</v>
      </c>
      <c r="C879" s="3" t="s">
        <v>20</v>
      </c>
      <c r="D879" s="3" t="s">
        <v>112</v>
      </c>
      <c r="E879" s="3" t="s">
        <v>22</v>
      </c>
      <c r="F879" s="3" t="s">
        <v>2654</v>
      </c>
      <c r="G879" s="3">
        <v>498</v>
      </c>
      <c r="H879" s="7">
        <v>44715</v>
      </c>
      <c r="I879" s="6">
        <v>44440</v>
      </c>
      <c r="J879" s="6">
        <v>2222</v>
      </c>
      <c r="K879" s="4">
        <v>49011020</v>
      </c>
      <c r="L879" s="3"/>
      <c r="M879" s="3" t="s">
        <v>2566</v>
      </c>
      <c r="N879" s="5">
        <f t="shared" si="13"/>
        <v>5</v>
      </c>
    </row>
    <row r="880" spans="1:14" ht="14.4" x14ac:dyDescent="0.3">
      <c r="A880" s="3" t="s">
        <v>2655</v>
      </c>
      <c r="B880" s="3" t="s">
        <v>2577</v>
      </c>
      <c r="C880" s="3" t="s">
        <v>20</v>
      </c>
      <c r="D880" s="3" t="s">
        <v>112</v>
      </c>
      <c r="E880" s="3" t="s">
        <v>22</v>
      </c>
      <c r="F880" s="3" t="s">
        <v>2656</v>
      </c>
      <c r="G880" s="3">
        <v>270</v>
      </c>
      <c r="H880" s="7">
        <v>44741</v>
      </c>
      <c r="I880" s="6">
        <v>115129</v>
      </c>
      <c r="J880" s="6">
        <v>20723.22</v>
      </c>
      <c r="K880" s="4">
        <v>48191010</v>
      </c>
      <c r="L880" s="3"/>
      <c r="M880" s="3" t="s">
        <v>2584</v>
      </c>
      <c r="N880" s="5">
        <f t="shared" si="13"/>
        <v>18</v>
      </c>
    </row>
    <row r="881" spans="1:14" ht="14.4" x14ac:dyDescent="0.3">
      <c r="A881" s="3" t="s">
        <v>2657</v>
      </c>
      <c r="B881" s="3" t="s">
        <v>89</v>
      </c>
      <c r="C881" s="3" t="s">
        <v>20</v>
      </c>
      <c r="D881" s="3" t="s">
        <v>50</v>
      </c>
      <c r="E881" s="3" t="s">
        <v>22</v>
      </c>
      <c r="F881" s="3" t="s">
        <v>2658</v>
      </c>
      <c r="G881" s="3">
        <v>309</v>
      </c>
      <c r="H881" s="7">
        <v>44730</v>
      </c>
      <c r="I881" s="6">
        <v>44106.6</v>
      </c>
      <c r="J881" s="6">
        <v>7939.18</v>
      </c>
      <c r="K881" s="4">
        <v>76071994</v>
      </c>
      <c r="L881" s="3" t="s">
        <v>131</v>
      </c>
      <c r="M881" s="3" t="s">
        <v>675</v>
      </c>
      <c r="N881" s="5">
        <f t="shared" si="13"/>
        <v>17.999981862124944</v>
      </c>
    </row>
    <row r="882" spans="1:14" ht="14.4" x14ac:dyDescent="0.3">
      <c r="A882" s="3" t="s">
        <v>2659</v>
      </c>
      <c r="B882" s="3" t="s">
        <v>957</v>
      </c>
      <c r="C882" s="3" t="s">
        <v>134</v>
      </c>
      <c r="D882" s="3" t="s">
        <v>958</v>
      </c>
      <c r="E882" s="3" t="s">
        <v>396</v>
      </c>
      <c r="F882" s="3" t="s">
        <v>2660</v>
      </c>
      <c r="G882" s="3">
        <v>59</v>
      </c>
      <c r="H882" s="7">
        <v>44715</v>
      </c>
      <c r="I882" s="6">
        <v>46515</v>
      </c>
      <c r="J882" s="6">
        <v>8372.7000000000007</v>
      </c>
      <c r="K882" s="4">
        <v>4821</v>
      </c>
      <c r="L882" s="3" t="s">
        <v>960</v>
      </c>
      <c r="M882" s="3" t="s">
        <v>59</v>
      </c>
      <c r="N882" s="5">
        <f t="shared" si="13"/>
        <v>18.000000000000004</v>
      </c>
    </row>
    <row r="883" spans="1:14" ht="14.4" x14ac:dyDescent="0.3">
      <c r="A883" s="3" t="s">
        <v>2661</v>
      </c>
      <c r="B883" s="3" t="s">
        <v>957</v>
      </c>
      <c r="C883" s="3" t="s">
        <v>134</v>
      </c>
      <c r="D883" s="3" t="s">
        <v>958</v>
      </c>
      <c r="E883" s="3" t="s">
        <v>396</v>
      </c>
      <c r="F883" s="3" t="s">
        <v>2662</v>
      </c>
      <c r="G883" s="3">
        <v>76</v>
      </c>
      <c r="H883" s="7">
        <v>44727</v>
      </c>
      <c r="I883" s="6">
        <v>257161.5</v>
      </c>
      <c r="J883" s="6">
        <v>46289.07</v>
      </c>
      <c r="K883" s="4">
        <v>4821</v>
      </c>
      <c r="L883" s="3" t="s">
        <v>960</v>
      </c>
      <c r="M883" s="3" t="s">
        <v>2663</v>
      </c>
      <c r="N883" s="5">
        <f t="shared" si="13"/>
        <v>18</v>
      </c>
    </row>
    <row r="884" spans="1:14" ht="14.4" x14ac:dyDescent="0.3">
      <c r="A884" s="3" t="s">
        <v>2664</v>
      </c>
      <c r="B884" s="3" t="s">
        <v>957</v>
      </c>
      <c r="C884" s="3" t="s">
        <v>134</v>
      </c>
      <c r="D884" s="3" t="s">
        <v>958</v>
      </c>
      <c r="E884" s="3" t="s">
        <v>396</v>
      </c>
      <c r="F884" s="3" t="s">
        <v>2665</v>
      </c>
      <c r="G884" s="3">
        <v>85</v>
      </c>
      <c r="H884" s="7">
        <v>44735</v>
      </c>
      <c r="I884" s="6">
        <v>63694</v>
      </c>
      <c r="J884" s="6">
        <v>11464.92</v>
      </c>
      <c r="K884" s="4">
        <v>4821</v>
      </c>
      <c r="L884" s="3" t="s">
        <v>960</v>
      </c>
      <c r="M884" s="3" t="s">
        <v>2666</v>
      </c>
      <c r="N884" s="5">
        <f t="shared" si="13"/>
        <v>18</v>
      </c>
    </row>
    <row r="885" spans="1:14" ht="14.4" x14ac:dyDescent="0.3">
      <c r="A885" s="3" t="s">
        <v>2667</v>
      </c>
      <c r="B885" s="3" t="s">
        <v>542</v>
      </c>
      <c r="C885" s="3" t="s">
        <v>20</v>
      </c>
      <c r="D885" s="3" t="s">
        <v>547</v>
      </c>
      <c r="E885" s="3" t="s">
        <v>22</v>
      </c>
      <c r="F885" s="3" t="s">
        <v>2668</v>
      </c>
      <c r="G885" s="3">
        <v>14</v>
      </c>
      <c r="H885" s="7">
        <v>44742</v>
      </c>
      <c r="I885" s="6">
        <v>60000</v>
      </c>
      <c r="J885" s="6">
        <v>10800</v>
      </c>
      <c r="K885" s="4">
        <v>28365000</v>
      </c>
      <c r="L885" s="3"/>
      <c r="M885" s="3" t="s">
        <v>964</v>
      </c>
      <c r="N885" s="5">
        <f t="shared" si="13"/>
        <v>18</v>
      </c>
    </row>
    <row r="886" spans="1:14" ht="14.4" x14ac:dyDescent="0.3">
      <c r="A886" s="3" t="s">
        <v>2669</v>
      </c>
      <c r="B886" s="3" t="s">
        <v>932</v>
      </c>
      <c r="C886" s="3" t="s">
        <v>20</v>
      </c>
      <c r="D886" s="3" t="s">
        <v>933</v>
      </c>
      <c r="E886" s="3" t="s">
        <v>22</v>
      </c>
      <c r="F886" s="3" t="s">
        <v>2670</v>
      </c>
      <c r="G886" s="3" t="s">
        <v>3945</v>
      </c>
      <c r="H886" s="7">
        <v>44739</v>
      </c>
      <c r="I886" s="6">
        <v>6750</v>
      </c>
      <c r="J886" s="6">
        <v>1215</v>
      </c>
      <c r="K886" s="4">
        <v>32050000</v>
      </c>
      <c r="L886" s="3" t="s">
        <v>935</v>
      </c>
      <c r="M886" s="3" t="s">
        <v>2671</v>
      </c>
      <c r="N886" s="5">
        <f t="shared" si="13"/>
        <v>18</v>
      </c>
    </row>
    <row r="887" spans="1:14" ht="14.4" x14ac:dyDescent="0.3">
      <c r="A887" s="3" t="s">
        <v>2672</v>
      </c>
      <c r="B887" s="3" t="s">
        <v>1501</v>
      </c>
      <c r="C887" s="3" t="s">
        <v>134</v>
      </c>
      <c r="D887" s="3" t="s">
        <v>1502</v>
      </c>
      <c r="E887" s="3" t="s">
        <v>285</v>
      </c>
      <c r="F887" s="3" t="s">
        <v>2673</v>
      </c>
      <c r="G887" s="3" t="s">
        <v>3946</v>
      </c>
      <c r="H887" s="7">
        <v>44732</v>
      </c>
      <c r="I887" s="6">
        <v>328000</v>
      </c>
      <c r="J887" s="6">
        <v>59040</v>
      </c>
      <c r="K887" s="4">
        <v>29224990</v>
      </c>
      <c r="L887" s="3" t="s">
        <v>1504</v>
      </c>
      <c r="M887" s="3" t="s">
        <v>280</v>
      </c>
      <c r="N887" s="5">
        <f t="shared" si="13"/>
        <v>18</v>
      </c>
    </row>
    <row r="888" spans="1:14" ht="14.4" x14ac:dyDescent="0.3">
      <c r="A888" s="3" t="s">
        <v>2674</v>
      </c>
      <c r="B888" s="3" t="s">
        <v>905</v>
      </c>
      <c r="C888" s="3" t="s">
        <v>672</v>
      </c>
      <c r="D888" s="3" t="s">
        <v>906</v>
      </c>
      <c r="E888" s="3" t="s">
        <v>80</v>
      </c>
      <c r="F888" s="3" t="s">
        <v>2675</v>
      </c>
      <c r="G888" s="3">
        <v>967</v>
      </c>
      <c r="H888" s="7">
        <v>44726</v>
      </c>
      <c r="I888" s="6">
        <v>264562.5</v>
      </c>
      <c r="J888" s="6"/>
      <c r="K888" s="4">
        <v>39204900</v>
      </c>
      <c r="L888" s="3" t="s">
        <v>929</v>
      </c>
      <c r="M888" s="3" t="s">
        <v>1966</v>
      </c>
      <c r="N888" s="5">
        <f t="shared" si="13"/>
        <v>0</v>
      </c>
    </row>
    <row r="889" spans="1:14" ht="14.4" x14ac:dyDescent="0.3">
      <c r="A889" s="3" t="s">
        <v>2676</v>
      </c>
      <c r="B889" s="3" t="s">
        <v>829</v>
      </c>
      <c r="C889" s="3" t="s">
        <v>56</v>
      </c>
      <c r="D889" s="3" t="s">
        <v>830</v>
      </c>
      <c r="E889" s="3" t="s">
        <v>831</v>
      </c>
      <c r="F889" s="3" t="s">
        <v>2677</v>
      </c>
      <c r="G889" s="3">
        <v>158</v>
      </c>
      <c r="H889" s="7">
        <v>44733</v>
      </c>
      <c r="I889" s="6">
        <v>45955</v>
      </c>
      <c r="J889" s="6">
        <v>8271.9</v>
      </c>
      <c r="K889" s="4">
        <v>76071995</v>
      </c>
      <c r="L889" s="3"/>
      <c r="M889" s="3" t="s">
        <v>280</v>
      </c>
      <c r="N889" s="5">
        <f t="shared" si="13"/>
        <v>18</v>
      </c>
    </row>
    <row r="890" spans="1:14" ht="14.4" x14ac:dyDescent="0.3">
      <c r="A890" s="3" t="s">
        <v>2678</v>
      </c>
      <c r="B890" s="3" t="s">
        <v>2420</v>
      </c>
      <c r="C890" s="3" t="s">
        <v>20</v>
      </c>
      <c r="D890" s="3" t="s">
        <v>865</v>
      </c>
      <c r="E890" s="3" t="s">
        <v>22</v>
      </c>
      <c r="F890" s="3" t="s">
        <v>2679</v>
      </c>
      <c r="G890" s="3">
        <v>288</v>
      </c>
      <c r="H890" s="7">
        <v>44714</v>
      </c>
      <c r="I890" s="6">
        <v>60386.5</v>
      </c>
      <c r="J890" s="6">
        <v>10869.57</v>
      </c>
      <c r="K890" s="4">
        <v>39219023</v>
      </c>
      <c r="L890" s="3"/>
      <c r="M890" s="3" t="s">
        <v>32</v>
      </c>
      <c r="N890" s="5">
        <f t="shared" si="13"/>
        <v>18</v>
      </c>
    </row>
    <row r="891" spans="1:14" ht="14.4" x14ac:dyDescent="0.3">
      <c r="A891" s="3" t="s">
        <v>2680</v>
      </c>
      <c r="B891" s="3" t="s">
        <v>819</v>
      </c>
      <c r="C891" s="3" t="s">
        <v>20</v>
      </c>
      <c r="D891" s="3" t="s">
        <v>820</v>
      </c>
      <c r="E891" s="3" t="s">
        <v>22</v>
      </c>
      <c r="F891" s="3" t="s">
        <v>2681</v>
      </c>
      <c r="G891" s="3" t="s">
        <v>3947</v>
      </c>
      <c r="H891" s="7">
        <v>44741</v>
      </c>
      <c r="I891" s="6">
        <v>576075.5</v>
      </c>
      <c r="J891" s="6">
        <v>103693.59</v>
      </c>
      <c r="K891" s="4">
        <v>29420090</v>
      </c>
      <c r="L891" s="3"/>
      <c r="M891" s="3" t="s">
        <v>36</v>
      </c>
      <c r="N891" s="5">
        <f t="shared" si="13"/>
        <v>18</v>
      </c>
    </row>
    <row r="892" spans="1:14" ht="14.4" x14ac:dyDescent="0.3">
      <c r="A892" s="3" t="s">
        <v>2682</v>
      </c>
      <c r="B892" s="3" t="s">
        <v>2353</v>
      </c>
      <c r="C892" s="3" t="s">
        <v>20</v>
      </c>
      <c r="D892" s="3" t="s">
        <v>2683</v>
      </c>
      <c r="E892" s="3" t="s">
        <v>22</v>
      </c>
      <c r="F892" s="3" t="s">
        <v>2684</v>
      </c>
      <c r="G892" s="3" t="s">
        <v>3948</v>
      </c>
      <c r="H892" s="7">
        <v>44736</v>
      </c>
      <c r="I892" s="6">
        <v>64900</v>
      </c>
      <c r="J892" s="6">
        <v>11682</v>
      </c>
      <c r="K892" s="4">
        <v>8536</v>
      </c>
      <c r="L892" s="3"/>
      <c r="M892" s="3" t="s">
        <v>2685</v>
      </c>
      <c r="N892" s="5">
        <f t="shared" si="13"/>
        <v>18</v>
      </c>
    </row>
    <row r="893" spans="1:14" ht="14.4" x14ac:dyDescent="0.3">
      <c r="A893" s="3" t="s">
        <v>2686</v>
      </c>
      <c r="B893" s="3" t="s">
        <v>887</v>
      </c>
      <c r="C893" s="3" t="s">
        <v>20</v>
      </c>
      <c r="D893" s="3" t="s">
        <v>799</v>
      </c>
      <c r="E893" s="3" t="s">
        <v>22</v>
      </c>
      <c r="F893" s="3" t="s">
        <v>2687</v>
      </c>
      <c r="G893" s="3" t="s">
        <v>3949</v>
      </c>
      <c r="H893" s="7">
        <v>44726</v>
      </c>
      <c r="I893" s="6">
        <v>125250</v>
      </c>
      <c r="J893" s="6">
        <v>22545</v>
      </c>
      <c r="K893" s="4">
        <v>28112200</v>
      </c>
      <c r="L893" s="3" t="s">
        <v>2688</v>
      </c>
      <c r="M893" s="3" t="s">
        <v>280</v>
      </c>
      <c r="N893" s="5">
        <f t="shared" si="13"/>
        <v>18</v>
      </c>
    </row>
    <row r="894" spans="1:14" ht="14.4" x14ac:dyDescent="0.3">
      <c r="A894" s="3" t="s">
        <v>2689</v>
      </c>
      <c r="B894" s="3" t="s">
        <v>803</v>
      </c>
      <c r="C894" s="3" t="s">
        <v>535</v>
      </c>
      <c r="D894" s="3" t="s">
        <v>804</v>
      </c>
      <c r="E894" s="3" t="s">
        <v>378</v>
      </c>
      <c r="F894" s="3" t="s">
        <v>2690</v>
      </c>
      <c r="G894" s="3" t="s">
        <v>3950</v>
      </c>
      <c r="H894" s="7">
        <v>44718</v>
      </c>
      <c r="I894" s="6">
        <v>280000</v>
      </c>
      <c r="J894" s="6">
        <v>50400</v>
      </c>
      <c r="K894" s="4">
        <v>29333990</v>
      </c>
      <c r="L894" s="3"/>
      <c r="M894" s="3" t="s">
        <v>1438</v>
      </c>
      <c r="N894" s="5">
        <f t="shared" si="13"/>
        <v>18</v>
      </c>
    </row>
    <row r="895" spans="1:14" ht="14.4" x14ac:dyDescent="0.3">
      <c r="A895" s="3" t="s">
        <v>2691</v>
      </c>
      <c r="B895" s="3" t="s">
        <v>810</v>
      </c>
      <c r="C895" s="3" t="s">
        <v>20</v>
      </c>
      <c r="D895" s="3" t="s">
        <v>843</v>
      </c>
      <c r="E895" s="3" t="s">
        <v>22</v>
      </c>
      <c r="F895" s="3" t="s">
        <v>2692</v>
      </c>
      <c r="G895" s="3" t="s">
        <v>3951</v>
      </c>
      <c r="H895" s="7">
        <v>44713</v>
      </c>
      <c r="I895" s="6">
        <v>57682</v>
      </c>
      <c r="J895" s="6">
        <v>0</v>
      </c>
      <c r="K895" s="4">
        <v>48192020</v>
      </c>
      <c r="L895" s="3" t="s">
        <v>845</v>
      </c>
      <c r="M895" s="3" t="s">
        <v>32</v>
      </c>
      <c r="N895" s="5">
        <f t="shared" si="13"/>
        <v>0</v>
      </c>
    </row>
    <row r="896" spans="1:14" ht="14.4" x14ac:dyDescent="0.3">
      <c r="A896" s="3" t="s">
        <v>2693</v>
      </c>
      <c r="B896" s="3" t="s">
        <v>829</v>
      </c>
      <c r="C896" s="3" t="s">
        <v>56</v>
      </c>
      <c r="D896" s="3" t="s">
        <v>830</v>
      </c>
      <c r="E896" s="3" t="s">
        <v>831</v>
      </c>
      <c r="F896" s="3" t="s">
        <v>2694</v>
      </c>
      <c r="G896" s="3">
        <v>172</v>
      </c>
      <c r="H896" s="7">
        <v>44740</v>
      </c>
      <c r="I896" s="6">
        <v>62727.4</v>
      </c>
      <c r="J896" s="6">
        <v>11290.93</v>
      </c>
      <c r="K896" s="4">
        <v>76071995</v>
      </c>
      <c r="L896" s="3"/>
      <c r="M896" s="3" t="s">
        <v>280</v>
      </c>
      <c r="N896" s="5">
        <f t="shared" si="13"/>
        <v>17.999996811600671</v>
      </c>
    </row>
    <row r="897" spans="1:14" ht="14.4" x14ac:dyDescent="0.3">
      <c r="A897" s="3" t="s">
        <v>2695</v>
      </c>
      <c r="B897" s="3" t="s">
        <v>803</v>
      </c>
      <c r="C897" s="3" t="s">
        <v>535</v>
      </c>
      <c r="D897" s="3" t="s">
        <v>804</v>
      </c>
      <c r="E897" s="3" t="s">
        <v>378</v>
      </c>
      <c r="F897" s="3" t="s">
        <v>2696</v>
      </c>
      <c r="G897" s="3" t="s">
        <v>3952</v>
      </c>
      <c r="H897" s="7">
        <v>44727</v>
      </c>
      <c r="I897" s="6">
        <v>42000</v>
      </c>
      <c r="J897" s="6">
        <v>7560</v>
      </c>
      <c r="K897" s="4">
        <v>96020030</v>
      </c>
      <c r="L897" s="3"/>
      <c r="M897" s="3" t="s">
        <v>2550</v>
      </c>
      <c r="N897" s="5">
        <f t="shared" si="13"/>
        <v>18</v>
      </c>
    </row>
    <row r="898" spans="1:14" ht="14.4" x14ac:dyDescent="0.3">
      <c r="A898" s="3" t="s">
        <v>2697</v>
      </c>
      <c r="B898" s="3" t="s">
        <v>798</v>
      </c>
      <c r="C898" s="3" t="s">
        <v>20</v>
      </c>
      <c r="D898" s="3" t="s">
        <v>799</v>
      </c>
      <c r="E898" s="3" t="s">
        <v>22</v>
      </c>
      <c r="F898" s="3" t="s">
        <v>2698</v>
      </c>
      <c r="G898" s="3">
        <v>446</v>
      </c>
      <c r="H898" s="7">
        <v>44723</v>
      </c>
      <c r="I898" s="6">
        <v>72000</v>
      </c>
      <c r="J898" s="6">
        <v>12960</v>
      </c>
      <c r="K898" s="4">
        <v>8207</v>
      </c>
      <c r="L898" s="3" t="s">
        <v>2699</v>
      </c>
      <c r="M898" s="3" t="s">
        <v>2700</v>
      </c>
      <c r="N898" s="5">
        <f t="shared" si="13"/>
        <v>18</v>
      </c>
    </row>
    <row r="899" spans="1:14" ht="14.4" x14ac:dyDescent="0.3">
      <c r="A899" s="3" t="s">
        <v>2701</v>
      </c>
      <c r="B899" s="3" t="s">
        <v>810</v>
      </c>
      <c r="C899" s="3" t="s">
        <v>20</v>
      </c>
      <c r="D899" s="3" t="s">
        <v>843</v>
      </c>
      <c r="E899" s="3" t="s">
        <v>22</v>
      </c>
      <c r="F899" s="3" t="s">
        <v>2702</v>
      </c>
      <c r="G899" s="3" t="s">
        <v>3953</v>
      </c>
      <c r="H899" s="7">
        <v>44716</v>
      </c>
      <c r="I899" s="6">
        <v>158025</v>
      </c>
      <c r="J899" s="6">
        <v>0</v>
      </c>
      <c r="K899" s="4">
        <v>48192020</v>
      </c>
      <c r="L899" s="3" t="s">
        <v>845</v>
      </c>
      <c r="M899" s="3" t="s">
        <v>1438</v>
      </c>
      <c r="N899" s="5">
        <f t="shared" ref="N899:N962" si="14">J899*100/I899</f>
        <v>0</v>
      </c>
    </row>
    <row r="900" spans="1:14" ht="14.4" x14ac:dyDescent="0.3">
      <c r="A900" s="3" t="s">
        <v>2703</v>
      </c>
      <c r="B900" s="3" t="s">
        <v>859</v>
      </c>
      <c r="C900" s="3" t="s">
        <v>134</v>
      </c>
      <c r="D900" s="3" t="s">
        <v>860</v>
      </c>
      <c r="E900" s="3" t="s">
        <v>15</v>
      </c>
      <c r="F900" s="3" t="s">
        <v>2704</v>
      </c>
      <c r="G900" s="3" t="s">
        <v>3954</v>
      </c>
      <c r="H900" s="7">
        <v>44713</v>
      </c>
      <c r="I900" s="6">
        <v>116875</v>
      </c>
      <c r="J900" s="6">
        <v>21037.5</v>
      </c>
      <c r="K900" s="4">
        <v>29224990</v>
      </c>
      <c r="L900" s="3"/>
      <c r="M900" s="3" t="s">
        <v>32</v>
      </c>
      <c r="N900" s="5">
        <f t="shared" si="14"/>
        <v>18</v>
      </c>
    </row>
    <row r="901" spans="1:14" ht="14.4" x14ac:dyDescent="0.3">
      <c r="A901" s="3" t="s">
        <v>2705</v>
      </c>
      <c r="B901" s="3" t="s">
        <v>1470</v>
      </c>
      <c r="C901" s="3" t="s">
        <v>20</v>
      </c>
      <c r="D901" s="3" t="s">
        <v>1471</v>
      </c>
      <c r="E901" s="3" t="s">
        <v>22</v>
      </c>
      <c r="F901" s="3" t="s">
        <v>2706</v>
      </c>
      <c r="G901" s="3" t="s">
        <v>3955</v>
      </c>
      <c r="H901" s="7">
        <v>44770</v>
      </c>
      <c r="I901" s="6">
        <v>223611.75</v>
      </c>
      <c r="J901" s="6">
        <v>40250.11</v>
      </c>
      <c r="K901" s="4">
        <v>29335990</v>
      </c>
      <c r="L901" s="3"/>
      <c r="M901" s="3" t="s">
        <v>436</v>
      </c>
      <c r="N901" s="5">
        <f t="shared" si="14"/>
        <v>17.999997763981543</v>
      </c>
    </row>
    <row r="902" spans="1:14" ht="14.4" x14ac:dyDescent="0.3">
      <c r="A902" s="3" t="s">
        <v>2707</v>
      </c>
      <c r="B902" s="3" t="s">
        <v>887</v>
      </c>
      <c r="C902" s="3" t="s">
        <v>20</v>
      </c>
      <c r="D902" s="3" t="s">
        <v>799</v>
      </c>
      <c r="E902" s="3" t="s">
        <v>22</v>
      </c>
      <c r="F902" s="3" t="s">
        <v>2708</v>
      </c>
      <c r="G902" s="3" t="s">
        <v>3956</v>
      </c>
      <c r="H902" s="7">
        <v>44760</v>
      </c>
      <c r="I902" s="6">
        <v>210680</v>
      </c>
      <c r="J902" s="6">
        <v>37922.400000000001</v>
      </c>
      <c r="K902" s="4">
        <v>28112200</v>
      </c>
      <c r="L902" s="3" t="s">
        <v>2688</v>
      </c>
      <c r="M902" s="3" t="s">
        <v>516</v>
      </c>
      <c r="N902" s="5">
        <f t="shared" si="14"/>
        <v>18</v>
      </c>
    </row>
    <row r="903" spans="1:14" ht="14.4" x14ac:dyDescent="0.3">
      <c r="A903" s="3" t="s">
        <v>2709</v>
      </c>
      <c r="B903" s="3" t="s">
        <v>810</v>
      </c>
      <c r="C903" s="3" t="s">
        <v>20</v>
      </c>
      <c r="D903" s="3" t="s">
        <v>843</v>
      </c>
      <c r="E903" s="3" t="s">
        <v>22</v>
      </c>
      <c r="F903" s="3" t="s">
        <v>2710</v>
      </c>
      <c r="G903" s="3" t="s">
        <v>3957</v>
      </c>
      <c r="H903" s="7">
        <v>44749</v>
      </c>
      <c r="I903" s="6">
        <v>122912</v>
      </c>
      <c r="J903" s="6">
        <v>0</v>
      </c>
      <c r="K903" s="4">
        <v>4819</v>
      </c>
      <c r="L903" s="3" t="s">
        <v>845</v>
      </c>
      <c r="M903" s="3" t="s">
        <v>280</v>
      </c>
      <c r="N903" s="5">
        <f t="shared" si="14"/>
        <v>0</v>
      </c>
    </row>
    <row r="904" spans="1:14" ht="14.4" x14ac:dyDescent="0.3">
      <c r="A904" s="3" t="s">
        <v>2711</v>
      </c>
      <c r="B904" s="3" t="s">
        <v>815</v>
      </c>
      <c r="C904" s="3" t="s">
        <v>20</v>
      </c>
      <c r="D904" s="3" t="s">
        <v>816</v>
      </c>
      <c r="E904" s="3" t="s">
        <v>22</v>
      </c>
      <c r="F904" s="3" t="s">
        <v>2712</v>
      </c>
      <c r="G904" s="3" t="s">
        <v>3958</v>
      </c>
      <c r="H904" s="7">
        <v>44744</v>
      </c>
      <c r="I904" s="6">
        <v>54711.5</v>
      </c>
      <c r="J904" s="6">
        <v>9848.07</v>
      </c>
      <c r="K904" s="4">
        <v>4819</v>
      </c>
      <c r="L904" s="3"/>
      <c r="M904" s="3" t="s">
        <v>98</v>
      </c>
      <c r="N904" s="5">
        <f t="shared" si="14"/>
        <v>18</v>
      </c>
    </row>
    <row r="905" spans="1:14" ht="14.4" x14ac:dyDescent="0.3">
      <c r="A905" s="3" t="s">
        <v>2713</v>
      </c>
      <c r="B905" s="3" t="s">
        <v>2353</v>
      </c>
      <c r="C905" s="3" t="s">
        <v>20</v>
      </c>
      <c r="D905" s="3" t="s">
        <v>2683</v>
      </c>
      <c r="E905" s="3" t="s">
        <v>22</v>
      </c>
      <c r="F905" s="3" t="s">
        <v>2714</v>
      </c>
      <c r="G905" s="3" t="s">
        <v>3959</v>
      </c>
      <c r="H905" s="7">
        <v>44772</v>
      </c>
      <c r="I905" s="6">
        <v>62522</v>
      </c>
      <c r="J905" s="6">
        <v>11253.96</v>
      </c>
      <c r="K905" s="4">
        <v>8539</v>
      </c>
      <c r="L905" s="3"/>
      <c r="M905" s="3" t="s">
        <v>2715</v>
      </c>
      <c r="N905" s="5">
        <f t="shared" si="14"/>
        <v>18</v>
      </c>
    </row>
    <row r="906" spans="1:14" ht="14.4" x14ac:dyDescent="0.3">
      <c r="A906" s="3" t="s">
        <v>2716</v>
      </c>
      <c r="B906" s="3" t="s">
        <v>829</v>
      </c>
      <c r="C906" s="3" t="s">
        <v>56</v>
      </c>
      <c r="D906" s="3" t="s">
        <v>830</v>
      </c>
      <c r="E906" s="3" t="s">
        <v>831</v>
      </c>
      <c r="F906" s="3" t="s">
        <v>2717</v>
      </c>
      <c r="G906" s="3">
        <v>227</v>
      </c>
      <c r="H906" s="7">
        <v>44770</v>
      </c>
      <c r="I906" s="6">
        <v>86571.5</v>
      </c>
      <c r="J906" s="6">
        <v>15582.87</v>
      </c>
      <c r="K906" s="4">
        <v>76071995</v>
      </c>
      <c r="L906" s="3"/>
      <c r="M906" s="3" t="s">
        <v>280</v>
      </c>
      <c r="N906" s="5">
        <f t="shared" si="14"/>
        <v>18</v>
      </c>
    </row>
    <row r="907" spans="1:14" ht="14.4" x14ac:dyDescent="0.3">
      <c r="A907" s="3" t="s">
        <v>2718</v>
      </c>
      <c r="B907" s="3" t="s">
        <v>803</v>
      </c>
      <c r="C907" s="3" t="s">
        <v>535</v>
      </c>
      <c r="D907" s="3" t="s">
        <v>804</v>
      </c>
      <c r="E907" s="3" t="s">
        <v>378</v>
      </c>
      <c r="F907" s="3" t="s">
        <v>2719</v>
      </c>
      <c r="G907" s="3" t="s">
        <v>3960</v>
      </c>
      <c r="H907" s="7">
        <v>44764</v>
      </c>
      <c r="I907" s="6">
        <v>53200</v>
      </c>
      <c r="J907" s="6">
        <v>9576</v>
      </c>
      <c r="K907" s="4">
        <v>96020030</v>
      </c>
      <c r="L907" s="3"/>
      <c r="M907" s="3" t="s">
        <v>835</v>
      </c>
      <c r="N907" s="5">
        <f t="shared" si="14"/>
        <v>18</v>
      </c>
    </row>
    <row r="908" spans="1:14" ht="14.4" x14ac:dyDescent="0.3">
      <c r="A908" s="3" t="s">
        <v>2720</v>
      </c>
      <c r="B908" s="3" t="s">
        <v>803</v>
      </c>
      <c r="C908" s="3" t="s">
        <v>535</v>
      </c>
      <c r="D908" s="3" t="s">
        <v>804</v>
      </c>
      <c r="E908" s="3" t="s">
        <v>378</v>
      </c>
      <c r="F908" s="3" t="s">
        <v>2721</v>
      </c>
      <c r="G908" s="3" t="s">
        <v>3961</v>
      </c>
      <c r="H908" s="7">
        <v>44761</v>
      </c>
      <c r="I908" s="6">
        <v>84000</v>
      </c>
      <c r="J908" s="6">
        <v>15120</v>
      </c>
      <c r="K908" s="4">
        <v>96020030</v>
      </c>
      <c r="L908" s="3"/>
      <c r="M908" s="3" t="s">
        <v>98</v>
      </c>
      <c r="N908" s="5">
        <f t="shared" si="14"/>
        <v>18</v>
      </c>
    </row>
    <row r="909" spans="1:14" ht="14.4" x14ac:dyDescent="0.3">
      <c r="A909" s="3" t="s">
        <v>2722</v>
      </c>
      <c r="B909" s="3" t="s">
        <v>803</v>
      </c>
      <c r="C909" s="3" t="s">
        <v>535</v>
      </c>
      <c r="D909" s="3" t="s">
        <v>804</v>
      </c>
      <c r="E909" s="3" t="s">
        <v>378</v>
      </c>
      <c r="F909" s="3" t="s">
        <v>2723</v>
      </c>
      <c r="G909" s="3" t="s">
        <v>3962</v>
      </c>
      <c r="H909" s="7">
        <v>44761</v>
      </c>
      <c r="I909" s="6">
        <v>80500</v>
      </c>
      <c r="J909" s="6">
        <v>14490</v>
      </c>
      <c r="K909" s="4">
        <v>96020030</v>
      </c>
      <c r="L909" s="3"/>
      <c r="M909" s="3" t="s">
        <v>98</v>
      </c>
      <c r="N909" s="5">
        <f t="shared" si="14"/>
        <v>18</v>
      </c>
    </row>
    <row r="910" spans="1:14" ht="14.4" x14ac:dyDescent="0.3">
      <c r="A910" s="3" t="s">
        <v>2724</v>
      </c>
      <c r="B910" s="3" t="s">
        <v>2420</v>
      </c>
      <c r="C910" s="3" t="s">
        <v>20</v>
      </c>
      <c r="D910" s="3" t="s">
        <v>865</v>
      </c>
      <c r="E910" s="3" t="s">
        <v>22</v>
      </c>
      <c r="F910" s="3" t="s">
        <v>2725</v>
      </c>
      <c r="G910" s="3">
        <v>565</v>
      </c>
      <c r="H910" s="7">
        <v>44760</v>
      </c>
      <c r="I910" s="6">
        <v>124610.25</v>
      </c>
      <c r="J910" s="6">
        <v>22429.85</v>
      </c>
      <c r="K910" s="4">
        <v>39219023</v>
      </c>
      <c r="L910" s="3"/>
      <c r="M910" s="3" t="s">
        <v>280</v>
      </c>
      <c r="N910" s="5">
        <f t="shared" si="14"/>
        <v>18.00000401251101</v>
      </c>
    </row>
    <row r="911" spans="1:14" ht="14.4" x14ac:dyDescent="0.3">
      <c r="A911" s="3" t="s">
        <v>2726</v>
      </c>
      <c r="B911" s="3" t="s">
        <v>803</v>
      </c>
      <c r="C911" s="3" t="s">
        <v>535</v>
      </c>
      <c r="D911" s="3" t="s">
        <v>804</v>
      </c>
      <c r="E911" s="3" t="s">
        <v>378</v>
      </c>
      <c r="F911" s="3" t="s">
        <v>2727</v>
      </c>
      <c r="G911" s="3" t="s">
        <v>3963</v>
      </c>
      <c r="H911" s="7">
        <v>44760</v>
      </c>
      <c r="I911" s="6">
        <v>48000</v>
      </c>
      <c r="J911" s="6">
        <v>8640</v>
      </c>
      <c r="K911" s="4">
        <v>96020030</v>
      </c>
      <c r="L911" s="3"/>
      <c r="M911" s="3" t="s">
        <v>516</v>
      </c>
      <c r="N911" s="5">
        <f t="shared" si="14"/>
        <v>18</v>
      </c>
    </row>
    <row r="912" spans="1:14" ht="14.4" x14ac:dyDescent="0.3">
      <c r="A912" s="3" t="s">
        <v>2728</v>
      </c>
      <c r="B912" s="3" t="s">
        <v>2729</v>
      </c>
      <c r="C912" s="3" t="s">
        <v>223</v>
      </c>
      <c r="D912" s="3" t="s">
        <v>2730</v>
      </c>
      <c r="E912" s="3" t="s">
        <v>15</v>
      </c>
      <c r="F912" s="3" t="s">
        <v>2731</v>
      </c>
      <c r="G912" s="3" t="s">
        <v>3964</v>
      </c>
      <c r="H912" s="7">
        <v>44751</v>
      </c>
      <c r="I912" s="6">
        <v>225000</v>
      </c>
      <c r="J912" s="6">
        <v>40500</v>
      </c>
      <c r="K912" s="4">
        <v>29419090</v>
      </c>
      <c r="L912" s="3" t="s">
        <v>2732</v>
      </c>
      <c r="M912" s="3" t="s">
        <v>2733</v>
      </c>
      <c r="N912" s="5">
        <f t="shared" si="14"/>
        <v>18</v>
      </c>
    </row>
    <row r="913" spans="1:14" ht="14.4" x14ac:dyDescent="0.3">
      <c r="A913" s="3" t="s">
        <v>2734</v>
      </c>
      <c r="B913" s="3" t="s">
        <v>873</v>
      </c>
      <c r="C913" s="3" t="s">
        <v>20</v>
      </c>
      <c r="D913" s="3" t="s">
        <v>874</v>
      </c>
      <c r="E913" s="3" t="s">
        <v>22</v>
      </c>
      <c r="F913" s="3" t="s">
        <v>2735</v>
      </c>
      <c r="G913" s="3" t="s">
        <v>3965</v>
      </c>
      <c r="H913" s="7">
        <v>44749</v>
      </c>
      <c r="I913" s="6">
        <v>70570</v>
      </c>
      <c r="J913" s="6">
        <v>12702.6</v>
      </c>
      <c r="K913" s="4">
        <v>29214990</v>
      </c>
      <c r="L913" s="3" t="s">
        <v>876</v>
      </c>
      <c r="M913" s="3" t="s">
        <v>2736</v>
      </c>
      <c r="N913" s="5">
        <f t="shared" si="14"/>
        <v>18</v>
      </c>
    </row>
    <row r="914" spans="1:14" ht="14.4" x14ac:dyDescent="0.3">
      <c r="A914" s="3" t="s">
        <v>2737</v>
      </c>
      <c r="B914" s="3" t="s">
        <v>810</v>
      </c>
      <c r="C914" s="3" t="s">
        <v>20</v>
      </c>
      <c r="D914" s="3" t="s">
        <v>843</v>
      </c>
      <c r="E914" s="3" t="s">
        <v>22</v>
      </c>
      <c r="F914" s="3" t="s">
        <v>2738</v>
      </c>
      <c r="G914" s="3" t="s">
        <v>3966</v>
      </c>
      <c r="H914" s="7">
        <v>44744</v>
      </c>
      <c r="I914" s="6">
        <v>260475</v>
      </c>
      <c r="J914" s="6">
        <v>0</v>
      </c>
      <c r="K914" s="4">
        <v>4819</v>
      </c>
      <c r="L914" s="3" t="s">
        <v>845</v>
      </c>
      <c r="M914" s="3" t="s">
        <v>516</v>
      </c>
      <c r="N914" s="5">
        <f t="shared" si="14"/>
        <v>0</v>
      </c>
    </row>
    <row r="915" spans="1:14" ht="14.4" x14ac:dyDescent="0.3">
      <c r="A915" s="3" t="s">
        <v>2739</v>
      </c>
      <c r="B915" s="3" t="s">
        <v>803</v>
      </c>
      <c r="C915" s="3" t="s">
        <v>535</v>
      </c>
      <c r="D915" s="3" t="s">
        <v>804</v>
      </c>
      <c r="E915" s="3" t="s">
        <v>378</v>
      </c>
      <c r="F915" s="3" t="s">
        <v>2740</v>
      </c>
      <c r="G915" s="3" t="s">
        <v>3967</v>
      </c>
      <c r="H915" s="7">
        <v>44742</v>
      </c>
      <c r="I915" s="6">
        <v>280000</v>
      </c>
      <c r="J915" s="6">
        <v>50400</v>
      </c>
      <c r="K915" s="4">
        <v>29333990</v>
      </c>
      <c r="L915" s="3"/>
      <c r="M915" s="3" t="s">
        <v>98</v>
      </c>
      <c r="N915" s="5">
        <f t="shared" si="14"/>
        <v>18</v>
      </c>
    </row>
    <row r="916" spans="1:14" ht="14.4" x14ac:dyDescent="0.3">
      <c r="A916" s="3" t="s">
        <v>2741</v>
      </c>
      <c r="B916" s="3" t="s">
        <v>2742</v>
      </c>
      <c r="C916" s="3" t="s">
        <v>2743</v>
      </c>
      <c r="D916" s="3" t="s">
        <v>2744</v>
      </c>
      <c r="E916" s="3" t="s">
        <v>1723</v>
      </c>
      <c r="F916" s="3" t="s">
        <v>2745</v>
      </c>
      <c r="G916" s="3" t="s">
        <v>3968</v>
      </c>
      <c r="H916" s="7">
        <v>44769</v>
      </c>
      <c r="I916" s="6">
        <v>254200</v>
      </c>
      <c r="J916" s="6">
        <v>45756</v>
      </c>
      <c r="K916" s="4">
        <v>84143000</v>
      </c>
      <c r="L916" s="3" t="s">
        <v>2746</v>
      </c>
      <c r="M916" s="3" t="s">
        <v>2715</v>
      </c>
      <c r="N916" s="5">
        <f t="shared" si="14"/>
        <v>18</v>
      </c>
    </row>
    <row r="917" spans="1:14" ht="14.4" x14ac:dyDescent="0.3">
      <c r="A917" s="3" t="s">
        <v>2747</v>
      </c>
      <c r="B917" s="3" t="s">
        <v>803</v>
      </c>
      <c r="C917" s="3" t="s">
        <v>535</v>
      </c>
      <c r="D917" s="3" t="s">
        <v>804</v>
      </c>
      <c r="E917" s="3" t="s">
        <v>378</v>
      </c>
      <c r="F917" s="3" t="s">
        <v>2748</v>
      </c>
      <c r="G917" s="3" t="s">
        <v>3969</v>
      </c>
      <c r="H917" s="7">
        <v>44770</v>
      </c>
      <c r="I917" s="6">
        <v>42763</v>
      </c>
      <c r="J917" s="6">
        <v>7697.34</v>
      </c>
      <c r="K917" s="4">
        <v>29420090</v>
      </c>
      <c r="L917" s="3"/>
      <c r="M917" s="3" t="s">
        <v>98</v>
      </c>
      <c r="N917" s="5">
        <f t="shared" si="14"/>
        <v>18</v>
      </c>
    </row>
    <row r="918" spans="1:14" ht="14.4" x14ac:dyDescent="0.3">
      <c r="A918" s="3" t="s">
        <v>2749</v>
      </c>
      <c r="B918" s="3" t="s">
        <v>815</v>
      </c>
      <c r="C918" s="3" t="s">
        <v>20</v>
      </c>
      <c r="D918" s="3" t="s">
        <v>816</v>
      </c>
      <c r="E918" s="3" t="s">
        <v>22</v>
      </c>
      <c r="F918" s="3" t="s">
        <v>2750</v>
      </c>
      <c r="G918" s="3" t="s">
        <v>3970</v>
      </c>
      <c r="H918" s="7">
        <v>44767</v>
      </c>
      <c r="I918" s="6">
        <v>135439</v>
      </c>
      <c r="J918" s="6">
        <v>24379.02</v>
      </c>
      <c r="K918" s="4">
        <v>4819</v>
      </c>
      <c r="L918" s="3"/>
      <c r="M918" s="3" t="s">
        <v>516</v>
      </c>
      <c r="N918" s="5">
        <f t="shared" si="14"/>
        <v>18</v>
      </c>
    </row>
    <row r="919" spans="1:14" ht="14.4" x14ac:dyDescent="0.3">
      <c r="A919" s="3" t="s">
        <v>2751</v>
      </c>
      <c r="B919" s="3" t="s">
        <v>803</v>
      </c>
      <c r="C919" s="3" t="s">
        <v>535</v>
      </c>
      <c r="D919" s="3" t="s">
        <v>804</v>
      </c>
      <c r="E919" s="3" t="s">
        <v>378</v>
      </c>
      <c r="F919" s="3" t="s">
        <v>2752</v>
      </c>
      <c r="G919" s="3" t="s">
        <v>3971</v>
      </c>
      <c r="H919" s="7">
        <v>44750</v>
      </c>
      <c r="I919" s="6">
        <v>46875</v>
      </c>
      <c r="J919" s="6">
        <v>8437.5</v>
      </c>
      <c r="K919" s="4">
        <v>96020030</v>
      </c>
      <c r="L919" s="3"/>
      <c r="M919" s="3" t="s">
        <v>280</v>
      </c>
      <c r="N919" s="5">
        <f t="shared" si="14"/>
        <v>18</v>
      </c>
    </row>
    <row r="920" spans="1:14" ht="14.4" x14ac:dyDescent="0.3">
      <c r="A920" s="3" t="s">
        <v>2753</v>
      </c>
      <c r="B920" s="3" t="s">
        <v>873</v>
      </c>
      <c r="C920" s="3" t="s">
        <v>20</v>
      </c>
      <c r="D920" s="3" t="s">
        <v>874</v>
      </c>
      <c r="E920" s="3" t="s">
        <v>22</v>
      </c>
      <c r="F920" s="3" t="s">
        <v>2754</v>
      </c>
      <c r="G920" s="3" t="s">
        <v>3972</v>
      </c>
      <c r="H920" s="7">
        <v>44743</v>
      </c>
      <c r="I920" s="6">
        <v>76566</v>
      </c>
      <c r="J920" s="6">
        <v>13781.88</v>
      </c>
      <c r="K920" s="4">
        <v>29420090</v>
      </c>
      <c r="L920" s="3" t="s">
        <v>876</v>
      </c>
      <c r="M920" s="3" t="s">
        <v>1776</v>
      </c>
      <c r="N920" s="5">
        <f t="shared" si="14"/>
        <v>18</v>
      </c>
    </row>
    <row r="921" spans="1:14" ht="14.4" x14ac:dyDescent="0.3">
      <c r="A921" s="3" t="s">
        <v>2755</v>
      </c>
      <c r="B921" s="3" t="s">
        <v>2443</v>
      </c>
      <c r="C921" s="3" t="s">
        <v>291</v>
      </c>
      <c r="D921" s="3" t="s">
        <v>2444</v>
      </c>
      <c r="E921" s="3" t="s">
        <v>80</v>
      </c>
      <c r="F921" s="3" t="s">
        <v>2756</v>
      </c>
      <c r="G921" s="3" t="s">
        <v>3973</v>
      </c>
      <c r="H921" s="7">
        <v>44770</v>
      </c>
      <c r="I921" s="6">
        <v>40620.28</v>
      </c>
      <c r="J921" s="6">
        <v>7311.72</v>
      </c>
      <c r="K921" s="4">
        <v>39204900</v>
      </c>
      <c r="L921" s="3" t="s">
        <v>2757</v>
      </c>
      <c r="M921" s="3"/>
      <c r="N921" s="5">
        <f t="shared" si="14"/>
        <v>18.000171342984341</v>
      </c>
    </row>
    <row r="922" spans="1:14" ht="14.4" x14ac:dyDescent="0.3">
      <c r="A922" s="3" t="s">
        <v>2758</v>
      </c>
      <c r="B922" s="3" t="s">
        <v>905</v>
      </c>
      <c r="C922" s="3" t="s">
        <v>672</v>
      </c>
      <c r="D922" s="3" t="s">
        <v>906</v>
      </c>
      <c r="E922" s="3" t="s">
        <v>80</v>
      </c>
      <c r="F922" s="3" t="s">
        <v>2759</v>
      </c>
      <c r="G922" s="3">
        <v>1607</v>
      </c>
      <c r="H922" s="7">
        <v>44770</v>
      </c>
      <c r="I922" s="6">
        <v>157472</v>
      </c>
      <c r="J922" s="6"/>
      <c r="K922" s="4">
        <v>39204900</v>
      </c>
      <c r="L922" s="3" t="s">
        <v>2323</v>
      </c>
      <c r="M922" s="3" t="s">
        <v>1966</v>
      </c>
      <c r="N922" s="5">
        <f t="shared" si="14"/>
        <v>0</v>
      </c>
    </row>
    <row r="923" spans="1:14" ht="14.4" x14ac:dyDescent="0.3">
      <c r="A923" s="3" t="s">
        <v>2760</v>
      </c>
      <c r="B923" s="3" t="s">
        <v>2443</v>
      </c>
      <c r="C923" s="3" t="s">
        <v>291</v>
      </c>
      <c r="D923" s="3" t="s">
        <v>2444</v>
      </c>
      <c r="E923" s="3" t="s">
        <v>80</v>
      </c>
      <c r="F923" s="3" t="s">
        <v>2761</v>
      </c>
      <c r="G923" s="3" t="s">
        <v>3974</v>
      </c>
      <c r="H923" s="7">
        <v>44768</v>
      </c>
      <c r="I923" s="6">
        <v>366231.33</v>
      </c>
      <c r="J923" s="6">
        <v>65921.67</v>
      </c>
      <c r="K923" s="4">
        <v>76071999</v>
      </c>
      <c r="L923" s="3" t="s">
        <v>2762</v>
      </c>
      <c r="M923" s="3" t="s">
        <v>2017</v>
      </c>
      <c r="N923" s="5">
        <f t="shared" si="14"/>
        <v>18.000008355374728</v>
      </c>
    </row>
    <row r="924" spans="1:14" ht="14.4" x14ac:dyDescent="0.3">
      <c r="A924" s="3" t="s">
        <v>2763</v>
      </c>
      <c r="B924" s="3" t="s">
        <v>905</v>
      </c>
      <c r="C924" s="3" t="s">
        <v>672</v>
      </c>
      <c r="D924" s="3" t="s">
        <v>906</v>
      </c>
      <c r="E924" s="3" t="s">
        <v>80</v>
      </c>
      <c r="F924" s="3" t="s">
        <v>2764</v>
      </c>
      <c r="G924" s="3">
        <v>1557</v>
      </c>
      <c r="H924" s="7">
        <v>44767</v>
      </c>
      <c r="I924" s="6">
        <v>37412.76</v>
      </c>
      <c r="J924" s="6"/>
      <c r="K924" s="4">
        <v>39204900</v>
      </c>
      <c r="L924" s="3" t="s">
        <v>2311</v>
      </c>
      <c r="M924" s="3" t="s">
        <v>1488</v>
      </c>
      <c r="N924" s="5">
        <f t="shared" si="14"/>
        <v>0</v>
      </c>
    </row>
    <row r="925" spans="1:14" ht="14.4" x14ac:dyDescent="0.3">
      <c r="A925" s="3" t="s">
        <v>2765</v>
      </c>
      <c r="B925" s="3" t="s">
        <v>2766</v>
      </c>
      <c r="C925" s="3" t="s">
        <v>134</v>
      </c>
      <c r="D925" s="3" t="s">
        <v>2767</v>
      </c>
      <c r="E925" s="3" t="s">
        <v>22</v>
      </c>
      <c r="F925" s="3" t="s">
        <v>2768</v>
      </c>
      <c r="G925" s="3" t="s">
        <v>3975</v>
      </c>
      <c r="H925" s="7">
        <v>44760</v>
      </c>
      <c r="I925" s="6">
        <v>78183.399999999994</v>
      </c>
      <c r="J925" s="6">
        <v>14073.01</v>
      </c>
      <c r="K925" s="4">
        <v>29420090</v>
      </c>
      <c r="L925" s="3" t="s">
        <v>2769</v>
      </c>
      <c r="M925" s="3" t="s">
        <v>2770</v>
      </c>
      <c r="N925" s="5">
        <f t="shared" si="14"/>
        <v>17.999997441912225</v>
      </c>
    </row>
    <row r="926" spans="1:14" ht="14.4" x14ac:dyDescent="0.3">
      <c r="A926" s="3" t="s">
        <v>2771</v>
      </c>
      <c r="B926" s="3" t="s">
        <v>932</v>
      </c>
      <c r="C926" s="3" t="s">
        <v>20</v>
      </c>
      <c r="D926" s="3" t="s">
        <v>933</v>
      </c>
      <c r="E926" s="3" t="s">
        <v>22</v>
      </c>
      <c r="F926" s="3" t="s">
        <v>2772</v>
      </c>
      <c r="G926" s="3" t="s">
        <v>3976</v>
      </c>
      <c r="H926" s="7">
        <v>44754</v>
      </c>
      <c r="I926" s="6">
        <v>27000</v>
      </c>
      <c r="J926" s="6">
        <v>4860</v>
      </c>
      <c r="K926" s="4">
        <v>32050000</v>
      </c>
      <c r="L926" s="3" t="s">
        <v>935</v>
      </c>
      <c r="M926" s="3" t="s">
        <v>936</v>
      </c>
      <c r="N926" s="5">
        <f t="shared" si="14"/>
        <v>18</v>
      </c>
    </row>
    <row r="927" spans="1:14" ht="14.4" x14ac:dyDescent="0.3">
      <c r="A927" s="3" t="s">
        <v>2773</v>
      </c>
      <c r="B927" s="3" t="s">
        <v>2774</v>
      </c>
      <c r="C927" s="3" t="s">
        <v>20</v>
      </c>
      <c r="D927" s="3" t="s">
        <v>2775</v>
      </c>
      <c r="E927" s="3" t="s">
        <v>22</v>
      </c>
      <c r="F927" s="3" t="s">
        <v>2776</v>
      </c>
      <c r="G927" s="3" t="s">
        <v>3977</v>
      </c>
      <c r="H927" s="7">
        <v>44743</v>
      </c>
      <c r="I927" s="6">
        <v>900531</v>
      </c>
      <c r="J927" s="6">
        <v>162095.57999999999</v>
      </c>
      <c r="K927" s="4">
        <v>29391900</v>
      </c>
      <c r="L927" s="3" t="s">
        <v>2777</v>
      </c>
      <c r="M927" s="3" t="s">
        <v>936</v>
      </c>
      <c r="N927" s="5">
        <f t="shared" si="14"/>
        <v>17.999999999999996</v>
      </c>
    </row>
    <row r="928" spans="1:14" ht="14.4" x14ac:dyDescent="0.3">
      <c r="A928" s="3" t="s">
        <v>2778</v>
      </c>
      <c r="B928" s="3" t="s">
        <v>2779</v>
      </c>
      <c r="C928" s="3" t="s">
        <v>2780</v>
      </c>
      <c r="D928" s="3" t="s">
        <v>2781</v>
      </c>
      <c r="E928" s="3" t="s">
        <v>2782</v>
      </c>
      <c r="F928" s="3" t="s">
        <v>2783</v>
      </c>
      <c r="G928" s="3" t="s">
        <v>3978</v>
      </c>
      <c r="H928" s="7">
        <v>44755</v>
      </c>
      <c r="I928" s="6">
        <v>216250</v>
      </c>
      <c r="J928" s="6">
        <v>38925</v>
      </c>
      <c r="K928" s="4">
        <v>39059990</v>
      </c>
      <c r="L928" s="3" t="s">
        <v>2784</v>
      </c>
      <c r="M928" s="3" t="s">
        <v>288</v>
      </c>
      <c r="N928" s="5">
        <f t="shared" si="14"/>
        <v>18</v>
      </c>
    </row>
    <row r="929" spans="1:14" ht="14.4" x14ac:dyDescent="0.3">
      <c r="A929" s="3" t="s">
        <v>2785</v>
      </c>
      <c r="B929" s="3" t="s">
        <v>957</v>
      </c>
      <c r="C929" s="3" t="s">
        <v>134</v>
      </c>
      <c r="D929" s="3" t="s">
        <v>958</v>
      </c>
      <c r="E929" s="3" t="s">
        <v>396</v>
      </c>
      <c r="F929" s="3" t="s">
        <v>2786</v>
      </c>
      <c r="G929" s="3">
        <v>93</v>
      </c>
      <c r="H929" s="7">
        <v>44744</v>
      </c>
      <c r="I929" s="6">
        <v>66518</v>
      </c>
      <c r="J929" s="6">
        <v>11973.24</v>
      </c>
      <c r="K929" s="4">
        <v>4821</v>
      </c>
      <c r="L929" s="3" t="s">
        <v>960</v>
      </c>
      <c r="M929" s="3" t="s">
        <v>36</v>
      </c>
      <c r="N929" s="5">
        <f t="shared" si="14"/>
        <v>18</v>
      </c>
    </row>
    <row r="930" spans="1:14" ht="14.4" x14ac:dyDescent="0.3">
      <c r="A930" s="3" t="s">
        <v>2787</v>
      </c>
      <c r="B930" s="3" t="s">
        <v>957</v>
      </c>
      <c r="C930" s="3" t="s">
        <v>134</v>
      </c>
      <c r="D930" s="3" t="s">
        <v>958</v>
      </c>
      <c r="E930" s="3" t="s">
        <v>396</v>
      </c>
      <c r="F930" s="3" t="s">
        <v>2788</v>
      </c>
      <c r="G930" s="3">
        <v>97</v>
      </c>
      <c r="H930" s="7">
        <v>44748</v>
      </c>
      <c r="I930" s="6">
        <v>208385.05</v>
      </c>
      <c r="J930" s="6">
        <v>37509.31</v>
      </c>
      <c r="K930" s="4">
        <v>4821</v>
      </c>
      <c r="L930" s="3" t="s">
        <v>960</v>
      </c>
      <c r="M930" s="3" t="s">
        <v>98</v>
      </c>
      <c r="N930" s="5">
        <f t="shared" si="14"/>
        <v>18.000000479880875</v>
      </c>
    </row>
    <row r="931" spans="1:14" ht="14.4" x14ac:dyDescent="0.3">
      <c r="A931" s="3" t="s">
        <v>2789</v>
      </c>
      <c r="B931" s="3" t="s">
        <v>542</v>
      </c>
      <c r="C931" s="3" t="s">
        <v>20</v>
      </c>
      <c r="D931" s="3" t="s">
        <v>2479</v>
      </c>
      <c r="E931" s="3" t="s">
        <v>22</v>
      </c>
      <c r="F931" s="3" t="s">
        <v>2790</v>
      </c>
      <c r="G931" s="3">
        <v>17</v>
      </c>
      <c r="H931" s="7">
        <v>44761</v>
      </c>
      <c r="I931" s="6">
        <v>75000</v>
      </c>
      <c r="J931" s="6">
        <v>13500</v>
      </c>
      <c r="K931" s="4">
        <v>39129090</v>
      </c>
      <c r="L931" s="3"/>
      <c r="M931" s="3" t="s">
        <v>1401</v>
      </c>
      <c r="N931" s="5">
        <f t="shared" si="14"/>
        <v>18</v>
      </c>
    </row>
    <row r="932" spans="1:14" ht="14.4" x14ac:dyDescent="0.3">
      <c r="A932" s="3" t="s">
        <v>2791</v>
      </c>
      <c r="B932" s="3" t="s">
        <v>1314</v>
      </c>
      <c r="C932" s="3" t="s">
        <v>1315</v>
      </c>
      <c r="D932" s="3" t="s">
        <v>125</v>
      </c>
      <c r="E932" s="3" t="s">
        <v>1316</v>
      </c>
      <c r="F932" s="3" t="s">
        <v>2792</v>
      </c>
      <c r="G932" s="3" t="s">
        <v>3979</v>
      </c>
      <c r="H932" s="7">
        <v>44769</v>
      </c>
      <c r="I932" s="6">
        <v>57800</v>
      </c>
      <c r="J932" s="6">
        <v>10404</v>
      </c>
      <c r="K932" s="4">
        <v>2926</v>
      </c>
      <c r="L932" s="3" t="s">
        <v>1318</v>
      </c>
      <c r="M932" s="3" t="s">
        <v>2793</v>
      </c>
      <c r="N932" s="5">
        <f t="shared" si="14"/>
        <v>18</v>
      </c>
    </row>
    <row r="933" spans="1:14" ht="14.4" x14ac:dyDescent="0.3">
      <c r="A933" s="3" t="s">
        <v>2794</v>
      </c>
      <c r="B933" s="3" t="s">
        <v>89</v>
      </c>
      <c r="C933" s="3" t="s">
        <v>20</v>
      </c>
      <c r="D933" s="3" t="s">
        <v>50</v>
      </c>
      <c r="E933" s="3" t="s">
        <v>22</v>
      </c>
      <c r="F933" s="3" t="s">
        <v>2795</v>
      </c>
      <c r="G933" s="3">
        <v>412</v>
      </c>
      <c r="H933" s="7">
        <v>44755</v>
      </c>
      <c r="I933" s="6">
        <v>63520.55</v>
      </c>
      <c r="J933" s="6">
        <v>11433.7</v>
      </c>
      <c r="K933" s="4">
        <v>76071994</v>
      </c>
      <c r="L933" s="3" t="s">
        <v>744</v>
      </c>
      <c r="M933" s="3" t="s">
        <v>675</v>
      </c>
      <c r="N933" s="5">
        <f t="shared" si="14"/>
        <v>18.000001574293673</v>
      </c>
    </row>
    <row r="934" spans="1:14" ht="14.4" x14ac:dyDescent="0.3">
      <c r="A934" s="3" t="s">
        <v>2796</v>
      </c>
      <c r="B934" s="3" t="s">
        <v>178</v>
      </c>
      <c r="C934" s="3" t="s">
        <v>20</v>
      </c>
      <c r="D934" s="3" t="s">
        <v>50</v>
      </c>
      <c r="E934" s="3" t="s">
        <v>22</v>
      </c>
      <c r="F934" s="3" t="s">
        <v>2797</v>
      </c>
      <c r="G934" s="3" t="s">
        <v>3980</v>
      </c>
      <c r="H934" s="7">
        <v>44750</v>
      </c>
      <c r="I934" s="6">
        <v>48504.6</v>
      </c>
      <c r="J934" s="6">
        <v>8730.82</v>
      </c>
      <c r="K934" s="4">
        <v>76071995</v>
      </c>
      <c r="L934" s="3" t="s">
        <v>180</v>
      </c>
      <c r="M934" s="3" t="s">
        <v>92</v>
      </c>
      <c r="N934" s="5">
        <f t="shared" si="14"/>
        <v>17.999983506718952</v>
      </c>
    </row>
    <row r="935" spans="1:14" ht="14.4" x14ac:dyDescent="0.3">
      <c r="A935" s="3" t="s">
        <v>2798</v>
      </c>
      <c r="B935" s="3" t="s">
        <v>208</v>
      </c>
      <c r="C935" s="3" t="s">
        <v>209</v>
      </c>
      <c r="D935" s="3" t="s">
        <v>57</v>
      </c>
      <c r="E935" s="3" t="s">
        <v>22</v>
      </c>
      <c r="F935" s="3" t="s">
        <v>2799</v>
      </c>
      <c r="G935" s="3" t="s">
        <v>3981</v>
      </c>
      <c r="H935" s="7">
        <v>44772</v>
      </c>
      <c r="I935" s="6">
        <v>384000</v>
      </c>
      <c r="J935" s="6">
        <v>69120</v>
      </c>
      <c r="K935" s="4">
        <v>29420090</v>
      </c>
      <c r="L935" s="3" t="s">
        <v>30</v>
      </c>
      <c r="M935" s="3" t="s">
        <v>961</v>
      </c>
      <c r="N935" s="5">
        <f t="shared" si="14"/>
        <v>18</v>
      </c>
    </row>
    <row r="936" spans="1:14" ht="14.4" x14ac:dyDescent="0.3">
      <c r="A936" s="3" t="s">
        <v>2800</v>
      </c>
      <c r="B936" s="3" t="s">
        <v>25</v>
      </c>
      <c r="C936" s="3" t="s">
        <v>26</v>
      </c>
      <c r="D936" s="3" t="s">
        <v>27</v>
      </c>
      <c r="E936" s="3" t="s">
        <v>28</v>
      </c>
      <c r="F936" s="3" t="s">
        <v>2801</v>
      </c>
      <c r="G936" s="3" t="s">
        <v>3982</v>
      </c>
      <c r="H936" s="7">
        <v>44769</v>
      </c>
      <c r="I936" s="6">
        <v>979495</v>
      </c>
      <c r="J936" s="6">
        <v>176310</v>
      </c>
      <c r="K936" s="4">
        <v>29420090</v>
      </c>
      <c r="L936" s="3" t="s">
        <v>31</v>
      </c>
      <c r="M936" s="3" t="s">
        <v>195</v>
      </c>
      <c r="N936" s="5">
        <f t="shared" si="14"/>
        <v>18.000091884083126</v>
      </c>
    </row>
    <row r="937" spans="1:14" ht="14.4" x14ac:dyDescent="0.3">
      <c r="A937" s="3" t="s">
        <v>2802</v>
      </c>
      <c r="B937" s="3" t="s">
        <v>182</v>
      </c>
      <c r="C937" s="3" t="s">
        <v>20</v>
      </c>
      <c r="D937" s="3" t="s">
        <v>167</v>
      </c>
      <c r="E937" s="3" t="s">
        <v>22</v>
      </c>
      <c r="F937" s="3" t="s">
        <v>2803</v>
      </c>
      <c r="G937" s="3" t="s">
        <v>3983</v>
      </c>
      <c r="H937" s="7">
        <v>44769</v>
      </c>
      <c r="I937" s="6">
        <v>172350</v>
      </c>
      <c r="J937" s="6">
        <v>31023</v>
      </c>
      <c r="K937" s="4">
        <v>39059990</v>
      </c>
      <c r="L937" s="3" t="s">
        <v>2609</v>
      </c>
      <c r="M937" s="3" t="s">
        <v>195</v>
      </c>
      <c r="N937" s="5">
        <f t="shared" si="14"/>
        <v>18</v>
      </c>
    </row>
    <row r="938" spans="1:14" ht="14.4" x14ac:dyDescent="0.3">
      <c r="A938" s="3" t="s">
        <v>2804</v>
      </c>
      <c r="B938" s="3" t="s">
        <v>84</v>
      </c>
      <c r="C938" s="3" t="s">
        <v>20</v>
      </c>
      <c r="D938" s="3" t="s">
        <v>239</v>
      </c>
      <c r="E938" s="3" t="s">
        <v>22</v>
      </c>
      <c r="F938" s="3" t="s">
        <v>2805</v>
      </c>
      <c r="G938" s="3" t="s">
        <v>3984</v>
      </c>
      <c r="H938" s="7">
        <v>44762</v>
      </c>
      <c r="I938" s="6">
        <v>54117</v>
      </c>
      <c r="J938" s="6">
        <v>9741.06</v>
      </c>
      <c r="K938" s="4">
        <v>3921</v>
      </c>
      <c r="L938" s="3" t="s">
        <v>118</v>
      </c>
      <c r="M938" s="3" t="s">
        <v>2806</v>
      </c>
      <c r="N938" s="5">
        <f t="shared" si="14"/>
        <v>18</v>
      </c>
    </row>
    <row r="939" spans="1:14" ht="14.4" x14ac:dyDescent="0.3">
      <c r="A939" s="3" t="s">
        <v>2807</v>
      </c>
      <c r="B939" s="3" t="s">
        <v>1010</v>
      </c>
      <c r="C939" s="3" t="s">
        <v>20</v>
      </c>
      <c r="D939" s="3" t="s">
        <v>1011</v>
      </c>
      <c r="E939" s="3" t="s">
        <v>22</v>
      </c>
      <c r="F939" s="3" t="s">
        <v>2808</v>
      </c>
      <c r="G939" s="3" t="s">
        <v>3985</v>
      </c>
      <c r="H939" s="7">
        <v>44763</v>
      </c>
      <c r="I939" s="6">
        <v>54641.599999999999</v>
      </c>
      <c r="J939" s="6">
        <v>9835.49</v>
      </c>
      <c r="K939" s="4">
        <v>760719</v>
      </c>
      <c r="L939" s="3"/>
      <c r="M939" s="3" t="s">
        <v>98</v>
      </c>
      <c r="N939" s="5">
        <f t="shared" si="14"/>
        <v>18.000003660214929</v>
      </c>
    </row>
    <row r="940" spans="1:14" ht="14.4" x14ac:dyDescent="0.3">
      <c r="A940" s="3" t="s">
        <v>2809</v>
      </c>
      <c r="B940" s="3" t="s">
        <v>155</v>
      </c>
      <c r="C940" s="3" t="s">
        <v>20</v>
      </c>
      <c r="D940" s="3" t="s">
        <v>156</v>
      </c>
      <c r="E940" s="3" t="s">
        <v>22</v>
      </c>
      <c r="F940" s="3" t="s">
        <v>2810</v>
      </c>
      <c r="G940" s="3" t="s">
        <v>3986</v>
      </c>
      <c r="H940" s="7">
        <v>44761</v>
      </c>
      <c r="I940" s="6">
        <v>60393</v>
      </c>
      <c r="J940" s="6">
        <v>10870.74</v>
      </c>
      <c r="K940" s="4">
        <v>48191010</v>
      </c>
      <c r="L940" s="3" t="s">
        <v>2811</v>
      </c>
      <c r="M940" s="3" t="s">
        <v>159</v>
      </c>
      <c r="N940" s="5">
        <f t="shared" si="14"/>
        <v>18</v>
      </c>
    </row>
    <row r="941" spans="1:14" ht="14.4" x14ac:dyDescent="0.3">
      <c r="A941" s="3" t="s">
        <v>2812</v>
      </c>
      <c r="B941" s="3" t="s">
        <v>161</v>
      </c>
      <c r="C941" s="3" t="s">
        <v>56</v>
      </c>
      <c r="D941" s="3" t="s">
        <v>57</v>
      </c>
      <c r="E941" s="3" t="s">
        <v>162</v>
      </c>
      <c r="F941" s="3" t="s">
        <v>2813</v>
      </c>
      <c r="G941" s="3" t="s">
        <v>3987</v>
      </c>
      <c r="H941" s="7">
        <v>44760</v>
      </c>
      <c r="I941" s="6">
        <v>1260630</v>
      </c>
      <c r="J941" s="6">
        <v>226913.4</v>
      </c>
      <c r="K941" s="4">
        <v>29419090</v>
      </c>
      <c r="L941" s="3" t="s">
        <v>2155</v>
      </c>
      <c r="M941" s="3" t="s">
        <v>495</v>
      </c>
      <c r="N941" s="5">
        <f t="shared" si="14"/>
        <v>18</v>
      </c>
    </row>
    <row r="942" spans="1:14" ht="14.4" x14ac:dyDescent="0.3">
      <c r="A942" s="3" t="s">
        <v>2814</v>
      </c>
      <c r="B942" s="3" t="s">
        <v>25</v>
      </c>
      <c r="C942" s="3" t="s">
        <v>26</v>
      </c>
      <c r="D942" s="3" t="s">
        <v>27</v>
      </c>
      <c r="E942" s="3" t="s">
        <v>28</v>
      </c>
      <c r="F942" s="3" t="s">
        <v>2815</v>
      </c>
      <c r="G942" s="3" t="s">
        <v>3988</v>
      </c>
      <c r="H942" s="7">
        <v>44756</v>
      </c>
      <c r="I942" s="6">
        <v>148500</v>
      </c>
      <c r="J942" s="6">
        <v>26730</v>
      </c>
      <c r="K942" s="4">
        <v>29359090</v>
      </c>
      <c r="L942" s="3" t="s">
        <v>2816</v>
      </c>
      <c r="M942" s="3" t="s">
        <v>675</v>
      </c>
      <c r="N942" s="5">
        <f t="shared" si="14"/>
        <v>18</v>
      </c>
    </row>
    <row r="943" spans="1:14" ht="14.4" x14ac:dyDescent="0.3">
      <c r="A943" s="3" t="s">
        <v>2817</v>
      </c>
      <c r="B943" s="3" t="s">
        <v>1918</v>
      </c>
      <c r="C943" s="3" t="s">
        <v>20</v>
      </c>
      <c r="D943" s="3" t="s">
        <v>112</v>
      </c>
      <c r="E943" s="3" t="s">
        <v>22</v>
      </c>
      <c r="F943" s="3" t="s">
        <v>2818</v>
      </c>
      <c r="G943" s="3">
        <v>830</v>
      </c>
      <c r="H943" s="7">
        <v>44755</v>
      </c>
      <c r="I943" s="6">
        <v>70466.8</v>
      </c>
      <c r="J943" s="6">
        <v>12684.02</v>
      </c>
      <c r="K943" s="4">
        <v>48192020</v>
      </c>
      <c r="L943" s="3"/>
      <c r="M943" s="3" t="s">
        <v>98</v>
      </c>
      <c r="N943" s="5">
        <f t="shared" si="14"/>
        <v>17.999994323567979</v>
      </c>
    </row>
    <row r="944" spans="1:14" ht="14.4" x14ac:dyDescent="0.3">
      <c r="A944" s="3" t="s">
        <v>2819</v>
      </c>
      <c r="B944" s="3" t="s">
        <v>84</v>
      </c>
      <c r="C944" s="3" t="s">
        <v>20</v>
      </c>
      <c r="D944" s="3" t="s">
        <v>239</v>
      </c>
      <c r="E944" s="3" t="s">
        <v>22</v>
      </c>
      <c r="F944" s="3" t="s">
        <v>2820</v>
      </c>
      <c r="G944" s="3" t="s">
        <v>3989</v>
      </c>
      <c r="H944" s="7">
        <v>44754</v>
      </c>
      <c r="I944" s="6">
        <v>79220.5</v>
      </c>
      <c r="J944" s="6">
        <v>14259.69</v>
      </c>
      <c r="K944" s="4">
        <v>3921</v>
      </c>
      <c r="L944" s="3" t="s">
        <v>118</v>
      </c>
      <c r="M944" s="3" t="s">
        <v>2821</v>
      </c>
      <c r="N944" s="5">
        <f t="shared" si="14"/>
        <v>18</v>
      </c>
    </row>
    <row r="945" spans="1:14" ht="14.4" x14ac:dyDescent="0.3">
      <c r="A945" s="3" t="s">
        <v>2822</v>
      </c>
      <c r="B945" s="3" t="s">
        <v>25</v>
      </c>
      <c r="C945" s="3" t="s">
        <v>26</v>
      </c>
      <c r="D945" s="3" t="s">
        <v>27</v>
      </c>
      <c r="E945" s="3" t="s">
        <v>28</v>
      </c>
      <c r="F945" s="3" t="s">
        <v>2823</v>
      </c>
      <c r="G945" s="3" t="s">
        <v>3990</v>
      </c>
      <c r="H945" s="7">
        <v>44754</v>
      </c>
      <c r="I945" s="6">
        <v>125999.5</v>
      </c>
      <c r="J945" s="6">
        <v>22680</v>
      </c>
      <c r="K945" s="4">
        <v>29331990</v>
      </c>
      <c r="L945" s="3" t="s">
        <v>1341</v>
      </c>
      <c r="M945" s="3" t="s">
        <v>107</v>
      </c>
      <c r="N945" s="5">
        <f t="shared" si="14"/>
        <v>18.000071428854877</v>
      </c>
    </row>
    <row r="946" spans="1:14" ht="14.4" x14ac:dyDescent="0.3">
      <c r="A946" s="3" t="s">
        <v>2824</v>
      </c>
      <c r="B946" s="3" t="s">
        <v>1273</v>
      </c>
      <c r="C946" s="3" t="s">
        <v>20</v>
      </c>
      <c r="D946" s="3" t="s">
        <v>156</v>
      </c>
      <c r="E946" s="3" t="s">
        <v>22</v>
      </c>
      <c r="F946" s="3" t="s">
        <v>2825</v>
      </c>
      <c r="G946" s="3" t="s">
        <v>3991</v>
      </c>
      <c r="H946" s="7">
        <v>44753</v>
      </c>
      <c r="I946" s="6">
        <v>62676.25</v>
      </c>
      <c r="J946" s="6">
        <v>11281.72</v>
      </c>
      <c r="K946" s="4">
        <v>4819</v>
      </c>
      <c r="L946" s="3"/>
      <c r="M946" s="3" t="s">
        <v>1576</v>
      </c>
      <c r="N946" s="5">
        <f t="shared" si="14"/>
        <v>17.99999202249656</v>
      </c>
    </row>
    <row r="947" spans="1:14" ht="14.4" x14ac:dyDescent="0.3">
      <c r="A947" s="3" t="s">
        <v>2826</v>
      </c>
      <c r="B947" s="3" t="s">
        <v>161</v>
      </c>
      <c r="C947" s="3" t="s">
        <v>56</v>
      </c>
      <c r="D947" s="3" t="s">
        <v>57</v>
      </c>
      <c r="E947" s="3" t="s">
        <v>162</v>
      </c>
      <c r="F947" s="3" t="s">
        <v>2827</v>
      </c>
      <c r="G947" s="3" t="s">
        <v>3992</v>
      </c>
      <c r="H947" s="7">
        <v>44751</v>
      </c>
      <c r="I947" s="6">
        <v>54277.13</v>
      </c>
      <c r="J947" s="6">
        <v>9769.8799999999992</v>
      </c>
      <c r="K947" s="4">
        <v>29332920</v>
      </c>
      <c r="L947" s="3" t="s">
        <v>2828</v>
      </c>
      <c r="M947" s="3" t="s">
        <v>2829</v>
      </c>
      <c r="N947" s="5">
        <f t="shared" si="14"/>
        <v>17.999993735851543</v>
      </c>
    </row>
    <row r="948" spans="1:14" ht="14.4" x14ac:dyDescent="0.3">
      <c r="A948" s="3" t="s">
        <v>2830</v>
      </c>
      <c r="B948" s="3" t="s">
        <v>1918</v>
      </c>
      <c r="C948" s="3" t="s">
        <v>20</v>
      </c>
      <c r="D948" s="3" t="s">
        <v>112</v>
      </c>
      <c r="E948" s="3" t="s">
        <v>22</v>
      </c>
      <c r="F948" s="3" t="s">
        <v>2831</v>
      </c>
      <c r="G948" s="3">
        <v>787</v>
      </c>
      <c r="H948" s="7">
        <v>44750</v>
      </c>
      <c r="I948" s="6">
        <v>35424</v>
      </c>
      <c r="J948" s="6">
        <v>6376.32</v>
      </c>
      <c r="K948" s="4">
        <v>48192020</v>
      </c>
      <c r="L948" s="3"/>
      <c r="M948" s="3" t="s">
        <v>485</v>
      </c>
      <c r="N948" s="5">
        <f t="shared" si="14"/>
        <v>18</v>
      </c>
    </row>
    <row r="949" spans="1:14" ht="14.4" x14ac:dyDescent="0.3">
      <c r="A949" s="3" t="s">
        <v>2832</v>
      </c>
      <c r="B949" s="3" t="s">
        <v>208</v>
      </c>
      <c r="C949" s="3" t="s">
        <v>209</v>
      </c>
      <c r="D949" s="3" t="s">
        <v>57</v>
      </c>
      <c r="E949" s="3" t="s">
        <v>22</v>
      </c>
      <c r="F949" s="3" t="s">
        <v>2833</v>
      </c>
      <c r="G949" s="3" t="s">
        <v>3993</v>
      </c>
      <c r="H949" s="7">
        <v>44749</v>
      </c>
      <c r="I949" s="6">
        <v>240000</v>
      </c>
      <c r="J949" s="6">
        <v>43200</v>
      </c>
      <c r="K949" s="4">
        <v>29420090</v>
      </c>
      <c r="L949" s="3" t="s">
        <v>30</v>
      </c>
      <c r="M949" s="3" t="s">
        <v>98</v>
      </c>
      <c r="N949" s="5">
        <f t="shared" si="14"/>
        <v>18</v>
      </c>
    </row>
    <row r="950" spans="1:14" ht="14.4" x14ac:dyDescent="0.3">
      <c r="A950" s="3" t="s">
        <v>2834</v>
      </c>
      <c r="B950" s="3" t="s">
        <v>178</v>
      </c>
      <c r="C950" s="3" t="s">
        <v>20</v>
      </c>
      <c r="D950" s="3" t="s">
        <v>50</v>
      </c>
      <c r="E950" s="3" t="s">
        <v>22</v>
      </c>
      <c r="F950" s="3" t="s">
        <v>2835</v>
      </c>
      <c r="G950" s="3" t="s">
        <v>3994</v>
      </c>
      <c r="H950" s="7">
        <v>44747</v>
      </c>
      <c r="I950" s="6">
        <v>47113</v>
      </c>
      <c r="J950" s="6">
        <v>8480.34</v>
      </c>
      <c r="K950" s="4">
        <v>76071995</v>
      </c>
      <c r="L950" s="3" t="s">
        <v>180</v>
      </c>
      <c r="M950" s="3" t="s">
        <v>516</v>
      </c>
      <c r="N950" s="5">
        <f t="shared" si="14"/>
        <v>18</v>
      </c>
    </row>
    <row r="951" spans="1:14" ht="14.4" x14ac:dyDescent="0.3">
      <c r="A951" s="3" t="s">
        <v>2836</v>
      </c>
      <c r="B951" s="3" t="s">
        <v>84</v>
      </c>
      <c r="C951" s="3" t="s">
        <v>20</v>
      </c>
      <c r="D951" s="3" t="s">
        <v>239</v>
      </c>
      <c r="E951" s="3" t="s">
        <v>22</v>
      </c>
      <c r="F951" s="3" t="s">
        <v>2837</v>
      </c>
      <c r="G951" s="3" t="s">
        <v>3995</v>
      </c>
      <c r="H951" s="7">
        <v>44743</v>
      </c>
      <c r="I951" s="6">
        <v>176415.4</v>
      </c>
      <c r="J951" s="6">
        <v>31754.77</v>
      </c>
      <c r="K951" s="4">
        <v>3921</v>
      </c>
      <c r="L951" s="3" t="s">
        <v>118</v>
      </c>
      <c r="M951" s="3" t="s">
        <v>2017</v>
      </c>
      <c r="N951" s="5">
        <f t="shared" si="14"/>
        <v>17.999998866312126</v>
      </c>
    </row>
    <row r="952" spans="1:14" ht="14.4" x14ac:dyDescent="0.3">
      <c r="A952" s="3" t="s">
        <v>2838</v>
      </c>
      <c r="B952" s="3" t="s">
        <v>182</v>
      </c>
      <c r="C952" s="3" t="s">
        <v>20</v>
      </c>
      <c r="D952" s="3" t="s">
        <v>167</v>
      </c>
      <c r="E952" s="3" t="s">
        <v>22</v>
      </c>
      <c r="F952" s="3" t="s">
        <v>2839</v>
      </c>
      <c r="G952" s="3" t="s">
        <v>3996</v>
      </c>
      <c r="H952" s="7">
        <v>44744</v>
      </c>
      <c r="I952" s="6">
        <v>118000</v>
      </c>
      <c r="J952" s="6">
        <v>21240</v>
      </c>
      <c r="K952" s="4">
        <v>39129090</v>
      </c>
      <c r="L952" s="3" t="s">
        <v>2840</v>
      </c>
      <c r="M952" s="3" t="s">
        <v>36</v>
      </c>
      <c r="N952" s="5">
        <f t="shared" si="14"/>
        <v>18</v>
      </c>
    </row>
    <row r="953" spans="1:14" ht="14.4" x14ac:dyDescent="0.3">
      <c r="A953" s="3" t="s">
        <v>2841</v>
      </c>
      <c r="B953" s="3" t="s">
        <v>182</v>
      </c>
      <c r="C953" s="3" t="s">
        <v>20</v>
      </c>
      <c r="D953" s="3" t="s">
        <v>167</v>
      </c>
      <c r="E953" s="3" t="s">
        <v>22</v>
      </c>
      <c r="F953" s="3" t="s">
        <v>2842</v>
      </c>
      <c r="G953" s="3" t="s">
        <v>3997</v>
      </c>
      <c r="H953" s="7">
        <v>44743</v>
      </c>
      <c r="I953" s="6">
        <v>48000</v>
      </c>
      <c r="J953" s="6">
        <v>8640</v>
      </c>
      <c r="K953" s="4">
        <v>28183000</v>
      </c>
      <c r="L953" s="3" t="s">
        <v>2843</v>
      </c>
      <c r="M953" s="3" t="s">
        <v>36</v>
      </c>
      <c r="N953" s="5">
        <f t="shared" si="14"/>
        <v>18</v>
      </c>
    </row>
    <row r="954" spans="1:14" ht="14.4" x14ac:dyDescent="0.3">
      <c r="A954" s="3" t="s">
        <v>2844</v>
      </c>
      <c r="B954" s="3" t="s">
        <v>161</v>
      </c>
      <c r="C954" s="3" t="s">
        <v>56</v>
      </c>
      <c r="D954" s="3" t="s">
        <v>57</v>
      </c>
      <c r="E954" s="3" t="s">
        <v>162</v>
      </c>
      <c r="F954" s="3" t="s">
        <v>2845</v>
      </c>
      <c r="G954" s="3" t="s">
        <v>3998</v>
      </c>
      <c r="H954" s="7">
        <v>44771</v>
      </c>
      <c r="I954" s="6">
        <v>1650825</v>
      </c>
      <c r="J954" s="6">
        <v>297148.5</v>
      </c>
      <c r="K954" s="4">
        <v>29222933</v>
      </c>
      <c r="L954" s="3" t="s">
        <v>540</v>
      </c>
      <c r="M954" s="3" t="s">
        <v>2846</v>
      </c>
      <c r="N954" s="5">
        <f t="shared" si="14"/>
        <v>18</v>
      </c>
    </row>
    <row r="955" spans="1:14" ht="14.4" x14ac:dyDescent="0.3">
      <c r="A955" s="3" t="s">
        <v>2847</v>
      </c>
      <c r="B955" s="3" t="s">
        <v>2848</v>
      </c>
      <c r="C955" s="3" t="s">
        <v>20</v>
      </c>
      <c r="D955" s="3" t="s">
        <v>2849</v>
      </c>
      <c r="E955" s="3" t="s">
        <v>69</v>
      </c>
      <c r="F955" s="3" t="s">
        <v>2850</v>
      </c>
      <c r="G955" s="3" t="s">
        <v>3999</v>
      </c>
      <c r="H955" s="7">
        <v>44770</v>
      </c>
      <c r="I955" s="6">
        <v>1063168</v>
      </c>
      <c r="J955" s="6">
        <v>191370.23999999999</v>
      </c>
      <c r="K955" s="4">
        <v>29419090</v>
      </c>
      <c r="L955" s="3" t="s">
        <v>2851</v>
      </c>
      <c r="M955" s="3" t="s">
        <v>597</v>
      </c>
      <c r="N955" s="5">
        <f t="shared" si="14"/>
        <v>18</v>
      </c>
    </row>
    <row r="956" spans="1:14" ht="14.4" x14ac:dyDescent="0.3">
      <c r="A956" s="3" t="s">
        <v>2852</v>
      </c>
      <c r="B956" s="3" t="s">
        <v>394</v>
      </c>
      <c r="C956" s="3" t="s">
        <v>26</v>
      </c>
      <c r="D956" s="3" t="s">
        <v>95</v>
      </c>
      <c r="E956" s="3" t="s">
        <v>22</v>
      </c>
      <c r="F956" s="3" t="s">
        <v>2853</v>
      </c>
      <c r="G956" s="3" t="s">
        <v>4000</v>
      </c>
      <c r="H956" s="7">
        <v>44768</v>
      </c>
      <c r="I956" s="6">
        <v>304340.90000000002</v>
      </c>
      <c r="J956" s="6">
        <v>54781.38</v>
      </c>
      <c r="K956" s="4">
        <v>48192090</v>
      </c>
      <c r="L956" s="3" t="s">
        <v>97</v>
      </c>
      <c r="M956" s="3" t="s">
        <v>195</v>
      </c>
      <c r="N956" s="5">
        <f t="shared" si="14"/>
        <v>18.00000591442031</v>
      </c>
    </row>
    <row r="957" spans="1:14" ht="14.4" x14ac:dyDescent="0.3">
      <c r="A957" s="3" t="s">
        <v>2854</v>
      </c>
      <c r="B957" s="3" t="s">
        <v>1354</v>
      </c>
      <c r="C957" s="3" t="s">
        <v>20</v>
      </c>
      <c r="D957" s="3" t="s">
        <v>50</v>
      </c>
      <c r="E957" s="3" t="s">
        <v>22</v>
      </c>
      <c r="F957" s="3" t="s">
        <v>2855</v>
      </c>
      <c r="G957" s="3">
        <v>250</v>
      </c>
      <c r="H957" s="7">
        <v>44757</v>
      </c>
      <c r="I957" s="6">
        <v>165000</v>
      </c>
      <c r="J957" s="6">
        <v>29700</v>
      </c>
      <c r="K957" s="4">
        <v>3912</v>
      </c>
      <c r="L957" s="3"/>
      <c r="M957" s="3" t="s">
        <v>2856</v>
      </c>
      <c r="N957" s="5">
        <f t="shared" si="14"/>
        <v>18</v>
      </c>
    </row>
    <row r="958" spans="1:14" ht="14.4" x14ac:dyDescent="0.3">
      <c r="A958" s="3" t="s">
        <v>2857</v>
      </c>
      <c r="B958" s="3" t="s">
        <v>409</v>
      </c>
      <c r="C958" s="3" t="s">
        <v>20</v>
      </c>
      <c r="D958" s="3" t="s">
        <v>410</v>
      </c>
      <c r="E958" s="3" t="s">
        <v>22</v>
      </c>
      <c r="F958" s="3" t="s">
        <v>2858</v>
      </c>
      <c r="G958" s="3">
        <v>501</v>
      </c>
      <c r="H958" s="7">
        <v>44753</v>
      </c>
      <c r="I958" s="6">
        <v>115000</v>
      </c>
      <c r="J958" s="6">
        <v>20700</v>
      </c>
      <c r="K958" s="4">
        <v>32050000</v>
      </c>
      <c r="L958" s="3" t="s">
        <v>412</v>
      </c>
      <c r="M958" s="3" t="s">
        <v>549</v>
      </c>
      <c r="N958" s="5">
        <f t="shared" si="14"/>
        <v>18</v>
      </c>
    </row>
    <row r="959" spans="1:14" ht="14.4" x14ac:dyDescent="0.3">
      <c r="A959" s="3" t="s">
        <v>2859</v>
      </c>
      <c r="B959" s="3" t="s">
        <v>145</v>
      </c>
      <c r="C959" s="3" t="s">
        <v>20</v>
      </c>
      <c r="D959" s="3" t="s">
        <v>762</v>
      </c>
      <c r="E959" s="3" t="s">
        <v>22</v>
      </c>
      <c r="F959" s="3" t="s">
        <v>2860</v>
      </c>
      <c r="G959" s="3" t="s">
        <v>4001</v>
      </c>
      <c r="H959" s="7">
        <v>44750</v>
      </c>
      <c r="I959" s="6">
        <v>167000</v>
      </c>
      <c r="J959" s="6">
        <v>20040</v>
      </c>
      <c r="K959" s="4">
        <v>11081200</v>
      </c>
      <c r="L959" s="3"/>
      <c r="M959" s="3" t="s">
        <v>2861</v>
      </c>
      <c r="N959" s="5">
        <f t="shared" si="14"/>
        <v>12</v>
      </c>
    </row>
    <row r="960" spans="1:14" ht="14.4" x14ac:dyDescent="0.3">
      <c r="A960" s="3" t="s">
        <v>2862</v>
      </c>
      <c r="B960" s="3" t="s">
        <v>394</v>
      </c>
      <c r="C960" s="3" t="s">
        <v>26</v>
      </c>
      <c r="D960" s="3" t="s">
        <v>95</v>
      </c>
      <c r="E960" s="3" t="s">
        <v>22</v>
      </c>
      <c r="F960" s="3" t="s">
        <v>2863</v>
      </c>
      <c r="G960" s="3" t="s">
        <v>4002</v>
      </c>
      <c r="H960" s="7">
        <v>44743</v>
      </c>
      <c r="I960" s="6">
        <v>46213.599999999999</v>
      </c>
      <c r="J960" s="6">
        <v>8318.44</v>
      </c>
      <c r="K960" s="4">
        <v>48192090</v>
      </c>
      <c r="L960" s="3" t="s">
        <v>97</v>
      </c>
      <c r="M960" s="3" t="s">
        <v>36</v>
      </c>
      <c r="N960" s="5">
        <f t="shared" si="14"/>
        <v>17.999982689078539</v>
      </c>
    </row>
    <row r="961" spans="1:14" ht="14.4" x14ac:dyDescent="0.3">
      <c r="A961" s="3" t="s">
        <v>2864</v>
      </c>
      <c r="B961" s="3" t="s">
        <v>182</v>
      </c>
      <c r="C961" s="3" t="s">
        <v>20</v>
      </c>
      <c r="D961" s="3" t="s">
        <v>167</v>
      </c>
      <c r="E961" s="3" t="s">
        <v>22</v>
      </c>
      <c r="F961" s="3" t="s">
        <v>2865</v>
      </c>
      <c r="G961" s="3" t="s">
        <v>4003</v>
      </c>
      <c r="H961" s="7">
        <v>44741</v>
      </c>
      <c r="I961" s="6">
        <v>28000</v>
      </c>
      <c r="J961" s="6">
        <v>5040</v>
      </c>
      <c r="K961" s="4">
        <v>39100090</v>
      </c>
      <c r="L961" s="3" t="s">
        <v>2866</v>
      </c>
      <c r="M961" s="3" t="s">
        <v>36</v>
      </c>
      <c r="N961" s="5">
        <f t="shared" si="14"/>
        <v>18</v>
      </c>
    </row>
    <row r="962" spans="1:14" ht="14.4" x14ac:dyDescent="0.3">
      <c r="A962" s="3" t="s">
        <v>2867</v>
      </c>
      <c r="B962" s="3" t="s">
        <v>394</v>
      </c>
      <c r="C962" s="3" t="s">
        <v>26</v>
      </c>
      <c r="D962" s="3" t="s">
        <v>95</v>
      </c>
      <c r="E962" s="3" t="s">
        <v>22</v>
      </c>
      <c r="F962" s="3" t="s">
        <v>2868</v>
      </c>
      <c r="G962" s="3" t="s">
        <v>4004</v>
      </c>
      <c r="H962" s="7">
        <v>44772</v>
      </c>
      <c r="I962" s="6">
        <v>79603.3</v>
      </c>
      <c r="J962" s="6">
        <v>13501.8</v>
      </c>
      <c r="K962" s="4">
        <v>48192090</v>
      </c>
      <c r="L962" s="3" t="s">
        <v>97</v>
      </c>
      <c r="M962" s="3" t="s">
        <v>961</v>
      </c>
      <c r="N962" s="5">
        <f t="shared" si="14"/>
        <v>16.961357129666734</v>
      </c>
    </row>
    <row r="963" spans="1:14" ht="14.4" x14ac:dyDescent="0.3">
      <c r="A963" s="3" t="s">
        <v>2869</v>
      </c>
      <c r="B963" s="3" t="s">
        <v>394</v>
      </c>
      <c r="C963" s="3" t="s">
        <v>26</v>
      </c>
      <c r="D963" s="3" t="s">
        <v>95</v>
      </c>
      <c r="E963" s="3" t="s">
        <v>22</v>
      </c>
      <c r="F963" s="3" t="s">
        <v>2870</v>
      </c>
      <c r="G963" s="3" t="s">
        <v>4005</v>
      </c>
      <c r="H963" s="7">
        <v>44771</v>
      </c>
      <c r="I963" s="6">
        <v>84912.7</v>
      </c>
      <c r="J963" s="6">
        <v>14647.3</v>
      </c>
      <c r="K963" s="4">
        <v>48192090</v>
      </c>
      <c r="L963" s="3" t="s">
        <v>97</v>
      </c>
      <c r="M963" s="3" t="s">
        <v>961</v>
      </c>
      <c r="N963" s="5">
        <f t="shared" ref="N963:N1026" si="15">J963*100/I963</f>
        <v>17.249834241520997</v>
      </c>
    </row>
    <row r="964" spans="1:14" ht="14.4" x14ac:dyDescent="0.3">
      <c r="A964" s="3" t="s">
        <v>2871</v>
      </c>
      <c r="B964" s="3" t="s">
        <v>394</v>
      </c>
      <c r="C964" s="3" t="s">
        <v>26</v>
      </c>
      <c r="D964" s="3" t="s">
        <v>95</v>
      </c>
      <c r="E964" s="3" t="s">
        <v>22</v>
      </c>
      <c r="F964" s="3" t="s">
        <v>2872</v>
      </c>
      <c r="G964" s="3" t="s">
        <v>4006</v>
      </c>
      <c r="H964" s="7">
        <v>44769</v>
      </c>
      <c r="I964" s="6">
        <v>90447.5</v>
      </c>
      <c r="J964" s="6">
        <v>15387.46</v>
      </c>
      <c r="K964" s="4">
        <v>48192090</v>
      </c>
      <c r="L964" s="3" t="s">
        <v>97</v>
      </c>
      <c r="M964" s="3" t="s">
        <v>195</v>
      </c>
      <c r="N964" s="5">
        <f t="shared" si="15"/>
        <v>17.012587412587411</v>
      </c>
    </row>
    <row r="965" spans="1:14" ht="14.4" x14ac:dyDescent="0.3">
      <c r="A965" s="3" t="s">
        <v>2873</v>
      </c>
      <c r="B965" s="3" t="s">
        <v>89</v>
      </c>
      <c r="C965" s="3" t="s">
        <v>20</v>
      </c>
      <c r="D965" s="3" t="s">
        <v>50</v>
      </c>
      <c r="E965" s="3" t="s">
        <v>22</v>
      </c>
      <c r="F965" s="3" t="s">
        <v>2874</v>
      </c>
      <c r="G965" s="3">
        <v>450</v>
      </c>
      <c r="H965" s="7">
        <v>44769</v>
      </c>
      <c r="I965" s="6">
        <v>15400</v>
      </c>
      <c r="J965" s="6">
        <v>2772</v>
      </c>
      <c r="K965" s="4">
        <v>84425010</v>
      </c>
      <c r="L965" s="3" t="s">
        <v>91</v>
      </c>
      <c r="M965" s="3" t="s">
        <v>195</v>
      </c>
      <c r="N965" s="5">
        <f t="shared" si="15"/>
        <v>18</v>
      </c>
    </row>
    <row r="966" spans="1:14" ht="14.4" x14ac:dyDescent="0.3">
      <c r="A966" s="3" t="s">
        <v>2875</v>
      </c>
      <c r="B966" s="3" t="s">
        <v>89</v>
      </c>
      <c r="C966" s="3" t="s">
        <v>20</v>
      </c>
      <c r="D966" s="3" t="s">
        <v>50</v>
      </c>
      <c r="E966" s="3" t="s">
        <v>22</v>
      </c>
      <c r="F966" s="3" t="s">
        <v>2876</v>
      </c>
      <c r="G966" s="3">
        <v>449</v>
      </c>
      <c r="H966" s="7">
        <v>44769</v>
      </c>
      <c r="I966" s="6">
        <v>110166.1</v>
      </c>
      <c r="J966" s="6">
        <v>19829.900000000001</v>
      </c>
      <c r="K966" s="4">
        <v>76071994</v>
      </c>
      <c r="L966" s="3" t="s">
        <v>131</v>
      </c>
      <c r="M966" s="3" t="s">
        <v>195</v>
      </c>
      <c r="N966" s="5">
        <f t="shared" si="15"/>
        <v>18.000001815440505</v>
      </c>
    </row>
    <row r="967" spans="1:14" ht="14.4" x14ac:dyDescent="0.3">
      <c r="A967" s="3" t="s">
        <v>2877</v>
      </c>
      <c r="B967" s="3" t="s">
        <v>2195</v>
      </c>
      <c r="C967" s="3" t="s">
        <v>20</v>
      </c>
      <c r="D967" s="3" t="s">
        <v>156</v>
      </c>
      <c r="E967" s="3" t="s">
        <v>22</v>
      </c>
      <c r="F967" s="3" t="s">
        <v>2878</v>
      </c>
      <c r="G967" s="3" t="s">
        <v>4007</v>
      </c>
      <c r="H967" s="7">
        <v>44762</v>
      </c>
      <c r="I967" s="6">
        <v>56583</v>
      </c>
      <c r="J967" s="6">
        <v>10184.94</v>
      </c>
      <c r="K967" s="4">
        <v>4819</v>
      </c>
      <c r="L967" s="3" t="s">
        <v>2879</v>
      </c>
      <c r="M967" s="3" t="s">
        <v>1576</v>
      </c>
      <c r="N967" s="5">
        <f t="shared" si="15"/>
        <v>18</v>
      </c>
    </row>
    <row r="968" spans="1:14" ht="14.4" x14ac:dyDescent="0.3">
      <c r="A968" s="3" t="s">
        <v>2880</v>
      </c>
      <c r="B968" s="3" t="s">
        <v>433</v>
      </c>
      <c r="C968" s="3" t="s">
        <v>20</v>
      </c>
      <c r="D968" s="3" t="s">
        <v>156</v>
      </c>
      <c r="E968" s="3" t="s">
        <v>22</v>
      </c>
      <c r="F968" s="3" t="s">
        <v>2881</v>
      </c>
      <c r="G968" s="3" t="s">
        <v>4008</v>
      </c>
      <c r="H968" s="7">
        <v>44761</v>
      </c>
      <c r="I968" s="6">
        <v>158779.29999999999</v>
      </c>
      <c r="J968" s="6">
        <v>28580.28</v>
      </c>
      <c r="K968" s="4">
        <v>7607</v>
      </c>
      <c r="L968" s="3" t="s">
        <v>435</v>
      </c>
      <c r="M968" s="3" t="s">
        <v>436</v>
      </c>
      <c r="N968" s="5">
        <f t="shared" si="15"/>
        <v>18.000003778830113</v>
      </c>
    </row>
    <row r="969" spans="1:14" ht="14.4" x14ac:dyDescent="0.3">
      <c r="A969" s="3" t="s">
        <v>2882</v>
      </c>
      <c r="B969" s="3" t="s">
        <v>116</v>
      </c>
      <c r="C969" s="3" t="s">
        <v>20</v>
      </c>
      <c r="D969" s="3" t="s">
        <v>780</v>
      </c>
      <c r="E969" s="3" t="s">
        <v>22</v>
      </c>
      <c r="F969" s="3" t="s">
        <v>2883</v>
      </c>
      <c r="G969" s="3" t="s">
        <v>4009</v>
      </c>
      <c r="H969" s="7">
        <v>44758</v>
      </c>
      <c r="I969" s="6">
        <v>93795</v>
      </c>
      <c r="J969" s="6">
        <v>16883.099999999999</v>
      </c>
      <c r="K969" s="4">
        <v>39239090</v>
      </c>
      <c r="L969" s="3" t="s">
        <v>118</v>
      </c>
      <c r="M969" s="3" t="s">
        <v>36</v>
      </c>
      <c r="N969" s="5">
        <f t="shared" si="15"/>
        <v>17.999999999999996</v>
      </c>
    </row>
    <row r="970" spans="1:14" ht="14.4" x14ac:dyDescent="0.3">
      <c r="A970" s="3" t="s">
        <v>2884</v>
      </c>
      <c r="B970" s="3" t="s">
        <v>161</v>
      </c>
      <c r="C970" s="3" t="s">
        <v>56</v>
      </c>
      <c r="D970" s="3" t="s">
        <v>57</v>
      </c>
      <c r="E970" s="3" t="s">
        <v>162</v>
      </c>
      <c r="F970" s="3" t="s">
        <v>2885</v>
      </c>
      <c r="G970" s="3" t="s">
        <v>4010</v>
      </c>
      <c r="H970" s="7">
        <v>44757</v>
      </c>
      <c r="I970" s="6">
        <v>1215607.5</v>
      </c>
      <c r="J970" s="6">
        <v>218809.36</v>
      </c>
      <c r="K970" s="4">
        <v>29419090</v>
      </c>
      <c r="L970" s="3" t="s">
        <v>600</v>
      </c>
      <c r="M970" s="3" t="s">
        <v>495</v>
      </c>
      <c r="N970" s="5">
        <f t="shared" si="15"/>
        <v>18.00000082263395</v>
      </c>
    </row>
    <row r="971" spans="1:14" ht="14.4" x14ac:dyDescent="0.3">
      <c r="A971" s="3" t="s">
        <v>2886</v>
      </c>
      <c r="B971" s="3" t="s">
        <v>1108</v>
      </c>
      <c r="C971" s="3" t="s">
        <v>270</v>
      </c>
      <c r="D971" s="3" t="s">
        <v>1109</v>
      </c>
      <c r="E971" s="3" t="s">
        <v>15</v>
      </c>
      <c r="F971" s="3" t="s">
        <v>2887</v>
      </c>
      <c r="G971" s="3">
        <v>5000526391</v>
      </c>
      <c r="H971" s="7">
        <v>44754</v>
      </c>
      <c r="I971" s="6">
        <v>377760</v>
      </c>
      <c r="J971" s="6">
        <v>45331.199999999997</v>
      </c>
      <c r="K971" s="4">
        <v>3004</v>
      </c>
      <c r="L971" s="3"/>
      <c r="M971" s="3" t="s">
        <v>2888</v>
      </c>
      <c r="N971" s="5">
        <f t="shared" si="15"/>
        <v>12</v>
      </c>
    </row>
    <row r="972" spans="1:14" ht="14.4" x14ac:dyDescent="0.3">
      <c r="A972" s="3" t="s">
        <v>2889</v>
      </c>
      <c r="B972" s="3" t="s">
        <v>161</v>
      </c>
      <c r="C972" s="3" t="s">
        <v>56</v>
      </c>
      <c r="D972" s="3" t="s">
        <v>57</v>
      </c>
      <c r="E972" s="3" t="s">
        <v>162</v>
      </c>
      <c r="F972" s="3" t="s">
        <v>2890</v>
      </c>
      <c r="G972" s="3" t="s">
        <v>4011</v>
      </c>
      <c r="H972" s="7">
        <v>44756</v>
      </c>
      <c r="I972" s="6">
        <v>1090545</v>
      </c>
      <c r="J972" s="6">
        <v>196298.1</v>
      </c>
      <c r="K972" s="4">
        <v>29222933</v>
      </c>
      <c r="L972" s="3" t="s">
        <v>1073</v>
      </c>
      <c r="M972" s="3" t="s">
        <v>2856</v>
      </c>
      <c r="N972" s="5">
        <f t="shared" si="15"/>
        <v>18</v>
      </c>
    </row>
    <row r="973" spans="1:14" ht="14.4" x14ac:dyDescent="0.3">
      <c r="A973" s="3" t="s">
        <v>2891</v>
      </c>
      <c r="B973" s="3" t="s">
        <v>89</v>
      </c>
      <c r="C973" s="3" t="s">
        <v>20</v>
      </c>
      <c r="D973" s="3" t="s">
        <v>50</v>
      </c>
      <c r="E973" s="3" t="s">
        <v>22</v>
      </c>
      <c r="F973" s="3" t="s">
        <v>2892</v>
      </c>
      <c r="G973" s="3">
        <v>413</v>
      </c>
      <c r="H973" s="7">
        <v>44755</v>
      </c>
      <c r="I973" s="6">
        <v>4400</v>
      </c>
      <c r="J973" s="6">
        <v>792</v>
      </c>
      <c r="K973" s="4">
        <v>84425010</v>
      </c>
      <c r="L973" s="3" t="s">
        <v>91</v>
      </c>
      <c r="M973" s="3" t="s">
        <v>675</v>
      </c>
      <c r="N973" s="5">
        <f t="shared" si="15"/>
        <v>18</v>
      </c>
    </row>
    <row r="974" spans="1:14" ht="14.4" x14ac:dyDescent="0.3">
      <c r="A974" s="3" t="s">
        <v>2893</v>
      </c>
      <c r="B974" s="3" t="s">
        <v>182</v>
      </c>
      <c r="C974" s="3" t="s">
        <v>20</v>
      </c>
      <c r="D974" s="3" t="s">
        <v>167</v>
      </c>
      <c r="E974" s="3" t="s">
        <v>22</v>
      </c>
      <c r="F974" s="3" t="s">
        <v>2894</v>
      </c>
      <c r="G974" s="3" t="s">
        <v>4012</v>
      </c>
      <c r="H974" s="7">
        <v>44752</v>
      </c>
      <c r="I974" s="6">
        <v>109000</v>
      </c>
      <c r="J974" s="6">
        <v>19620</v>
      </c>
      <c r="K974" s="4">
        <v>39059990</v>
      </c>
      <c r="L974" s="3" t="s">
        <v>229</v>
      </c>
      <c r="M974" s="3" t="s">
        <v>195</v>
      </c>
      <c r="N974" s="5">
        <f t="shared" si="15"/>
        <v>18</v>
      </c>
    </row>
    <row r="975" spans="1:14" ht="14.4" x14ac:dyDescent="0.3">
      <c r="A975" s="3" t="s">
        <v>2895</v>
      </c>
      <c r="B975" s="3" t="s">
        <v>2896</v>
      </c>
      <c r="C975" s="3" t="s">
        <v>2897</v>
      </c>
      <c r="D975" s="3" t="s">
        <v>2898</v>
      </c>
      <c r="E975" s="3" t="s">
        <v>15</v>
      </c>
      <c r="F975" s="3" t="s">
        <v>2899</v>
      </c>
      <c r="G975" s="3" t="s">
        <v>4013</v>
      </c>
      <c r="H975" s="7">
        <v>44751</v>
      </c>
      <c r="I975" s="6">
        <v>1256250</v>
      </c>
      <c r="J975" s="6">
        <v>226125</v>
      </c>
      <c r="K975" s="4">
        <v>841989</v>
      </c>
      <c r="L975" s="3" t="s">
        <v>2900</v>
      </c>
      <c r="M975" s="3" t="s">
        <v>2901</v>
      </c>
      <c r="N975" s="5">
        <f t="shared" si="15"/>
        <v>18</v>
      </c>
    </row>
    <row r="976" spans="1:14" ht="14.4" x14ac:dyDescent="0.3">
      <c r="A976" s="3" t="s">
        <v>2902</v>
      </c>
      <c r="B976" s="3" t="s">
        <v>1918</v>
      </c>
      <c r="C976" s="3" t="s">
        <v>20</v>
      </c>
      <c r="D976" s="3" t="s">
        <v>112</v>
      </c>
      <c r="E976" s="3" t="s">
        <v>22</v>
      </c>
      <c r="F976" s="3" t="s">
        <v>2903</v>
      </c>
      <c r="G976" s="3">
        <v>788</v>
      </c>
      <c r="H976" s="7">
        <v>44750</v>
      </c>
      <c r="I976" s="6">
        <v>13280</v>
      </c>
      <c r="J976" s="6">
        <v>2390.4</v>
      </c>
      <c r="K976" s="4">
        <v>48211020</v>
      </c>
      <c r="L976" s="3"/>
      <c r="M976" s="3" t="s">
        <v>2904</v>
      </c>
      <c r="N976" s="5">
        <f t="shared" si="15"/>
        <v>18</v>
      </c>
    </row>
    <row r="977" spans="1:14" ht="14.4" x14ac:dyDescent="0.3">
      <c r="A977" s="3" t="s">
        <v>2905</v>
      </c>
      <c r="B977" s="3" t="s">
        <v>2906</v>
      </c>
      <c r="C977" s="3" t="s">
        <v>20</v>
      </c>
      <c r="D977" s="3" t="s">
        <v>156</v>
      </c>
      <c r="E977" s="3" t="s">
        <v>22</v>
      </c>
      <c r="F977" s="3" t="s">
        <v>2907</v>
      </c>
      <c r="G977" s="3" t="s">
        <v>4014</v>
      </c>
      <c r="H977" s="7">
        <v>44747</v>
      </c>
      <c r="I977" s="6">
        <v>43700</v>
      </c>
      <c r="J977" s="6">
        <v>7866</v>
      </c>
      <c r="K977" s="4">
        <v>39139019</v>
      </c>
      <c r="L977" s="3" t="s">
        <v>2908</v>
      </c>
      <c r="M977" s="3" t="s">
        <v>516</v>
      </c>
      <c r="N977" s="5">
        <f t="shared" si="15"/>
        <v>18</v>
      </c>
    </row>
    <row r="978" spans="1:14" ht="14.4" x14ac:dyDescent="0.3">
      <c r="A978" s="3" t="s">
        <v>2909</v>
      </c>
      <c r="B978" s="3" t="s">
        <v>394</v>
      </c>
      <c r="C978" s="3" t="s">
        <v>26</v>
      </c>
      <c r="D978" s="3" t="s">
        <v>95</v>
      </c>
      <c r="E978" s="3" t="s">
        <v>22</v>
      </c>
      <c r="F978" s="3" t="s">
        <v>2910</v>
      </c>
      <c r="G978" s="3" t="s">
        <v>4015</v>
      </c>
      <c r="H978" s="7">
        <v>44744</v>
      </c>
      <c r="I978" s="6">
        <v>117047.25</v>
      </c>
      <c r="J978" s="6">
        <v>21068.52</v>
      </c>
      <c r="K978" s="4">
        <v>48192090</v>
      </c>
      <c r="L978" s="3" t="s">
        <v>97</v>
      </c>
      <c r="M978" s="3" t="s">
        <v>36</v>
      </c>
      <c r="N978" s="5">
        <f t="shared" si="15"/>
        <v>18.000012815337396</v>
      </c>
    </row>
    <row r="979" spans="1:14" ht="14.4" x14ac:dyDescent="0.3">
      <c r="A979" s="3" t="s">
        <v>2911</v>
      </c>
      <c r="B979" s="3" t="s">
        <v>444</v>
      </c>
      <c r="C979" s="3" t="s">
        <v>270</v>
      </c>
      <c r="D979" s="3" t="s">
        <v>445</v>
      </c>
      <c r="E979" s="3" t="s">
        <v>22</v>
      </c>
      <c r="F979" s="3" t="s">
        <v>2912</v>
      </c>
      <c r="G979" s="3" t="s">
        <v>4016</v>
      </c>
      <c r="H979" s="7">
        <v>44771</v>
      </c>
      <c r="I979" s="6">
        <v>83400</v>
      </c>
      <c r="J979" s="6">
        <v>15012</v>
      </c>
      <c r="K979" s="4">
        <v>35051010</v>
      </c>
      <c r="L979" s="3" t="s">
        <v>447</v>
      </c>
      <c r="M979" s="3" t="s">
        <v>467</v>
      </c>
      <c r="N979" s="5">
        <f t="shared" si="15"/>
        <v>18</v>
      </c>
    </row>
    <row r="980" spans="1:14" ht="14.4" x14ac:dyDescent="0.3">
      <c r="A980" s="3" t="s">
        <v>2913</v>
      </c>
      <c r="B980" s="3" t="s">
        <v>25</v>
      </c>
      <c r="C980" s="3" t="s">
        <v>26</v>
      </c>
      <c r="D980" s="3" t="s">
        <v>27</v>
      </c>
      <c r="E980" s="3" t="s">
        <v>28</v>
      </c>
      <c r="F980" s="3" t="s">
        <v>2914</v>
      </c>
      <c r="G980" s="3" t="s">
        <v>4017</v>
      </c>
      <c r="H980" s="7">
        <v>44771</v>
      </c>
      <c r="I980" s="6">
        <v>1650000</v>
      </c>
      <c r="J980" s="6">
        <v>297000</v>
      </c>
      <c r="K980" s="4">
        <v>29222933</v>
      </c>
      <c r="L980" s="3" t="s">
        <v>1171</v>
      </c>
      <c r="M980" s="3" t="s">
        <v>467</v>
      </c>
      <c r="N980" s="5">
        <f t="shared" si="15"/>
        <v>18</v>
      </c>
    </row>
    <row r="981" spans="1:14" ht="14.4" x14ac:dyDescent="0.3">
      <c r="A981" s="3" t="s">
        <v>2915</v>
      </c>
      <c r="B981" s="3" t="s">
        <v>178</v>
      </c>
      <c r="C981" s="3" t="s">
        <v>20</v>
      </c>
      <c r="D981" s="3" t="s">
        <v>50</v>
      </c>
      <c r="E981" s="3" t="s">
        <v>22</v>
      </c>
      <c r="F981" s="3" t="s">
        <v>2916</v>
      </c>
      <c r="G981" s="3" t="s">
        <v>4018</v>
      </c>
      <c r="H981" s="7">
        <v>44770</v>
      </c>
      <c r="I981" s="6">
        <v>81747</v>
      </c>
      <c r="J981" s="6">
        <v>14714.46</v>
      </c>
      <c r="K981" s="4">
        <v>76071995</v>
      </c>
      <c r="L981" s="3" t="s">
        <v>180</v>
      </c>
      <c r="M981" s="3" t="s">
        <v>98</v>
      </c>
      <c r="N981" s="5">
        <f t="shared" si="15"/>
        <v>18</v>
      </c>
    </row>
    <row r="982" spans="1:14" ht="14.4" x14ac:dyDescent="0.3">
      <c r="A982" s="3" t="s">
        <v>2917</v>
      </c>
      <c r="B982" s="3" t="s">
        <v>290</v>
      </c>
      <c r="C982" s="3" t="s">
        <v>291</v>
      </c>
      <c r="D982" s="3" t="s">
        <v>292</v>
      </c>
      <c r="E982" s="3" t="s">
        <v>22</v>
      </c>
      <c r="F982" s="3" t="s">
        <v>2918</v>
      </c>
      <c r="G982" s="3">
        <v>220433</v>
      </c>
      <c r="H982" s="7">
        <v>44678</v>
      </c>
      <c r="I982" s="6">
        <v>83291.5</v>
      </c>
      <c r="J982" s="6">
        <v>14992.47</v>
      </c>
      <c r="K982" s="4">
        <v>29420090</v>
      </c>
      <c r="L982" s="3" t="s">
        <v>2919</v>
      </c>
      <c r="M982" s="3" t="s">
        <v>32</v>
      </c>
      <c r="N982" s="5">
        <f t="shared" si="15"/>
        <v>18</v>
      </c>
    </row>
    <row r="983" spans="1:14" ht="14.4" x14ac:dyDescent="0.3">
      <c r="A983" s="3" t="s">
        <v>2920</v>
      </c>
      <c r="B983" s="3" t="s">
        <v>363</v>
      </c>
      <c r="C983" s="3" t="s">
        <v>20</v>
      </c>
      <c r="D983" s="3" t="s">
        <v>292</v>
      </c>
      <c r="E983" s="3" t="s">
        <v>298</v>
      </c>
      <c r="F983" s="3" t="s">
        <v>2921</v>
      </c>
      <c r="G983" s="3" t="s">
        <v>4019</v>
      </c>
      <c r="H983" s="7">
        <v>44666</v>
      </c>
      <c r="I983" s="6">
        <v>157697.54</v>
      </c>
      <c r="J983" s="6">
        <v>28385.56</v>
      </c>
      <c r="K983" s="4">
        <v>29419090</v>
      </c>
      <c r="L983" s="3" t="s">
        <v>365</v>
      </c>
      <c r="M983" s="3" t="s">
        <v>98</v>
      </c>
      <c r="N983" s="5">
        <f t="shared" si="15"/>
        <v>18.000001775550842</v>
      </c>
    </row>
    <row r="984" spans="1:14" ht="14.4" x14ac:dyDescent="0.3">
      <c r="A984" s="3" t="s">
        <v>2922</v>
      </c>
      <c r="B984" s="3" t="s">
        <v>315</v>
      </c>
      <c r="C984" s="3" t="s">
        <v>134</v>
      </c>
      <c r="D984" s="3" t="s">
        <v>292</v>
      </c>
      <c r="E984" s="3" t="s">
        <v>298</v>
      </c>
      <c r="F984" s="3" t="s">
        <v>2923</v>
      </c>
      <c r="G984" s="3" t="s">
        <v>4020</v>
      </c>
      <c r="H984" s="7">
        <v>44659</v>
      </c>
      <c r="I984" s="6">
        <v>267500</v>
      </c>
      <c r="J984" s="6">
        <v>48150</v>
      </c>
      <c r="K984" s="4">
        <v>29225090</v>
      </c>
      <c r="L984" s="3" t="s">
        <v>2147</v>
      </c>
      <c r="M984" s="3" t="s">
        <v>53</v>
      </c>
      <c r="N984" s="5">
        <f t="shared" si="15"/>
        <v>18</v>
      </c>
    </row>
    <row r="985" spans="1:14" ht="14.4" x14ac:dyDescent="0.3">
      <c r="A985" s="3" t="s">
        <v>2924</v>
      </c>
      <c r="B985" s="3" t="s">
        <v>2925</v>
      </c>
      <c r="C985" s="3" t="s">
        <v>13</v>
      </c>
      <c r="D985" s="3" t="s">
        <v>2926</v>
      </c>
      <c r="E985" s="3" t="s">
        <v>285</v>
      </c>
      <c r="F985" s="3" t="s">
        <v>2927</v>
      </c>
      <c r="G985" s="3" t="s">
        <v>4021</v>
      </c>
      <c r="H985" s="7">
        <v>44659</v>
      </c>
      <c r="I985" s="6">
        <v>187500</v>
      </c>
      <c r="J985" s="6">
        <v>33750</v>
      </c>
      <c r="K985" s="4">
        <v>29224990</v>
      </c>
      <c r="L985" s="3" t="s">
        <v>2928</v>
      </c>
      <c r="M985" s="3" t="s">
        <v>98</v>
      </c>
      <c r="N985" s="5">
        <f t="shared" si="15"/>
        <v>18</v>
      </c>
    </row>
    <row r="986" spans="1:14" ht="14.4" x14ac:dyDescent="0.3">
      <c r="A986" s="3" t="s">
        <v>2929</v>
      </c>
      <c r="B986" s="3" t="s">
        <v>2930</v>
      </c>
      <c r="C986" s="3" t="s">
        <v>20</v>
      </c>
      <c r="D986" s="3" t="s">
        <v>2101</v>
      </c>
      <c r="E986" s="3" t="s">
        <v>22</v>
      </c>
      <c r="F986" s="3" t="s">
        <v>2931</v>
      </c>
      <c r="G986" s="3" t="s">
        <v>4022</v>
      </c>
      <c r="H986" s="7">
        <v>44662</v>
      </c>
      <c r="I986" s="6">
        <v>58950</v>
      </c>
      <c r="J986" s="6">
        <v>10611</v>
      </c>
      <c r="K986" s="4">
        <v>84799040</v>
      </c>
      <c r="L986" s="3" t="s">
        <v>2932</v>
      </c>
      <c r="M986" s="3" t="s">
        <v>2933</v>
      </c>
      <c r="N986" s="5">
        <f t="shared" si="15"/>
        <v>18</v>
      </c>
    </row>
    <row r="987" spans="1:14" ht="14.4" x14ac:dyDescent="0.3">
      <c r="A987" s="3" t="s">
        <v>2934</v>
      </c>
      <c r="B987" s="3" t="s">
        <v>1161</v>
      </c>
      <c r="C987" s="3" t="s">
        <v>20</v>
      </c>
      <c r="D987" s="3" t="s">
        <v>1162</v>
      </c>
      <c r="E987" s="3" t="s">
        <v>80</v>
      </c>
      <c r="F987" s="3" t="s">
        <v>2935</v>
      </c>
      <c r="G987" s="3" t="s">
        <v>4023</v>
      </c>
      <c r="H987" s="7">
        <v>44659</v>
      </c>
      <c r="I987" s="6">
        <v>131250</v>
      </c>
      <c r="J987" s="6">
        <v>23625</v>
      </c>
      <c r="K987" s="4">
        <v>29420027</v>
      </c>
      <c r="L987" s="3" t="s">
        <v>365</v>
      </c>
      <c r="M987" s="3" t="s">
        <v>98</v>
      </c>
      <c r="N987" s="5">
        <f t="shared" si="15"/>
        <v>18</v>
      </c>
    </row>
    <row r="988" spans="1:14" ht="14.4" x14ac:dyDescent="0.3">
      <c r="A988" s="3" t="s">
        <v>2936</v>
      </c>
      <c r="B988" s="3" t="s">
        <v>315</v>
      </c>
      <c r="C988" s="3" t="s">
        <v>134</v>
      </c>
      <c r="D988" s="3" t="s">
        <v>292</v>
      </c>
      <c r="E988" s="3" t="s">
        <v>298</v>
      </c>
      <c r="F988" s="3" t="s">
        <v>2937</v>
      </c>
      <c r="G988" s="3" t="s">
        <v>4024</v>
      </c>
      <c r="H988" s="7">
        <v>44658</v>
      </c>
      <c r="I988" s="6">
        <v>342250</v>
      </c>
      <c r="J988" s="6">
        <v>61605</v>
      </c>
      <c r="K988" s="4">
        <v>29420012</v>
      </c>
      <c r="L988" s="3" t="s">
        <v>2065</v>
      </c>
      <c r="M988" s="3" t="s">
        <v>822</v>
      </c>
      <c r="N988" s="5">
        <f t="shared" si="15"/>
        <v>18</v>
      </c>
    </row>
    <row r="989" spans="1:14" ht="14.4" x14ac:dyDescent="0.3">
      <c r="A989" s="3" t="s">
        <v>2938</v>
      </c>
      <c r="B989" s="3" t="s">
        <v>2939</v>
      </c>
      <c r="C989" s="3" t="s">
        <v>20</v>
      </c>
      <c r="D989" s="3" t="s">
        <v>292</v>
      </c>
      <c r="E989" s="3" t="s">
        <v>22</v>
      </c>
      <c r="F989" s="3" t="s">
        <v>2940</v>
      </c>
      <c r="G989" s="3">
        <v>38</v>
      </c>
      <c r="H989" s="7">
        <v>44659</v>
      </c>
      <c r="I989" s="6">
        <v>55550</v>
      </c>
      <c r="J989" s="6">
        <v>9999</v>
      </c>
      <c r="K989" s="4">
        <v>84799040</v>
      </c>
      <c r="L989" s="3" t="s">
        <v>2941</v>
      </c>
      <c r="M989" s="3" t="s">
        <v>2942</v>
      </c>
      <c r="N989" s="5">
        <f t="shared" si="15"/>
        <v>18</v>
      </c>
    </row>
    <row r="990" spans="1:14" ht="14.4" x14ac:dyDescent="0.3">
      <c r="A990" s="3" t="s">
        <v>2943</v>
      </c>
      <c r="B990" s="3" t="s">
        <v>290</v>
      </c>
      <c r="C990" s="3" t="s">
        <v>291</v>
      </c>
      <c r="D990" s="3" t="s">
        <v>292</v>
      </c>
      <c r="E990" s="3" t="s">
        <v>22</v>
      </c>
      <c r="F990" s="3" t="s">
        <v>2944</v>
      </c>
      <c r="G990" s="3">
        <v>220426</v>
      </c>
      <c r="H990" s="7">
        <v>44678</v>
      </c>
      <c r="I990" s="6">
        <v>44622.3</v>
      </c>
      <c r="J990" s="6">
        <v>8032.01</v>
      </c>
      <c r="K990" s="4">
        <v>29420090</v>
      </c>
      <c r="L990" s="3" t="s">
        <v>2945</v>
      </c>
      <c r="M990" s="3" t="s">
        <v>32</v>
      </c>
      <c r="N990" s="5">
        <f t="shared" si="15"/>
        <v>17.999991035872196</v>
      </c>
    </row>
    <row r="991" spans="1:14" ht="14.4" x14ac:dyDescent="0.3">
      <c r="A991" s="3" t="s">
        <v>2946</v>
      </c>
      <c r="B991" s="3" t="s">
        <v>2930</v>
      </c>
      <c r="C991" s="3" t="s">
        <v>20</v>
      </c>
      <c r="D991" s="3" t="s">
        <v>2101</v>
      </c>
      <c r="E991" s="3" t="s">
        <v>22</v>
      </c>
      <c r="F991" s="3" t="s">
        <v>2947</v>
      </c>
      <c r="G991" s="3" t="s">
        <v>4025</v>
      </c>
      <c r="H991" s="7">
        <v>44662</v>
      </c>
      <c r="I991" s="6">
        <v>58950</v>
      </c>
      <c r="J991" s="6">
        <v>10611</v>
      </c>
      <c r="K991" s="4">
        <v>84799040</v>
      </c>
      <c r="L991" s="3" t="s">
        <v>2932</v>
      </c>
      <c r="M991" s="3" t="s">
        <v>2933</v>
      </c>
      <c r="N991" s="5">
        <f t="shared" si="15"/>
        <v>18</v>
      </c>
    </row>
    <row r="992" spans="1:14" ht="14.4" x14ac:dyDescent="0.3">
      <c r="A992" s="3" t="s">
        <v>2948</v>
      </c>
      <c r="B992" s="3" t="s">
        <v>542</v>
      </c>
      <c r="C992" s="3" t="s">
        <v>20</v>
      </c>
      <c r="D992" s="3" t="s">
        <v>2479</v>
      </c>
      <c r="E992" s="3" t="s">
        <v>22</v>
      </c>
      <c r="F992" s="3" t="s">
        <v>2949</v>
      </c>
      <c r="G992" s="3">
        <v>2</v>
      </c>
      <c r="H992" s="7">
        <v>44660</v>
      </c>
      <c r="I992" s="6">
        <v>72500</v>
      </c>
      <c r="J992" s="6">
        <v>13050</v>
      </c>
      <c r="K992" s="4">
        <v>28365000</v>
      </c>
      <c r="L992" s="3"/>
      <c r="M992" s="3" t="s">
        <v>964</v>
      </c>
      <c r="N992" s="5">
        <f t="shared" si="15"/>
        <v>18</v>
      </c>
    </row>
    <row r="993" spans="1:14" ht="14.4" x14ac:dyDescent="0.3">
      <c r="A993" s="3" t="s">
        <v>2950</v>
      </c>
      <c r="B993" s="3" t="s">
        <v>2951</v>
      </c>
      <c r="C993" s="3" t="s">
        <v>2952</v>
      </c>
      <c r="D993" s="3" t="s">
        <v>2953</v>
      </c>
      <c r="E993" s="3" t="s">
        <v>80</v>
      </c>
      <c r="F993" s="3" t="s">
        <v>2954</v>
      </c>
      <c r="G993" s="3" t="s">
        <v>4026</v>
      </c>
      <c r="H993" s="7">
        <v>44665</v>
      </c>
      <c r="I993" s="6">
        <v>134995</v>
      </c>
      <c r="J993" s="6">
        <v>16199.4</v>
      </c>
      <c r="K993" s="4">
        <v>30039021</v>
      </c>
      <c r="L993" s="3" t="s">
        <v>2955</v>
      </c>
      <c r="M993" s="3" t="s">
        <v>2956</v>
      </c>
      <c r="N993" s="5">
        <f t="shared" si="15"/>
        <v>12</v>
      </c>
    </row>
    <row r="994" spans="1:14" ht="14.4" x14ac:dyDescent="0.3">
      <c r="A994" s="3" t="s">
        <v>2957</v>
      </c>
      <c r="B994" s="3" t="s">
        <v>957</v>
      </c>
      <c r="C994" s="3" t="s">
        <v>134</v>
      </c>
      <c r="D994" s="3" t="s">
        <v>958</v>
      </c>
      <c r="E994" s="3" t="s">
        <v>396</v>
      </c>
      <c r="F994" s="3" t="s">
        <v>2958</v>
      </c>
      <c r="G994" s="3">
        <v>7</v>
      </c>
      <c r="H994" s="7">
        <v>44671</v>
      </c>
      <c r="I994" s="6">
        <v>57685</v>
      </c>
      <c r="J994" s="6">
        <v>10383.299999999999</v>
      </c>
      <c r="K994" s="4">
        <v>4821</v>
      </c>
      <c r="L994" s="3" t="s">
        <v>960</v>
      </c>
      <c r="M994" s="3" t="s">
        <v>32</v>
      </c>
      <c r="N994" s="5">
        <f t="shared" si="15"/>
        <v>17.999999999999996</v>
      </c>
    </row>
    <row r="995" spans="1:14" ht="14.4" x14ac:dyDescent="0.3">
      <c r="A995" s="3" t="s">
        <v>2959</v>
      </c>
      <c r="B995" s="3" t="s">
        <v>2766</v>
      </c>
      <c r="C995" s="3" t="s">
        <v>134</v>
      </c>
      <c r="D995" s="3" t="s">
        <v>2767</v>
      </c>
      <c r="E995" s="3" t="s">
        <v>22</v>
      </c>
      <c r="F995" s="3" t="s">
        <v>2960</v>
      </c>
      <c r="G995" s="3" t="s">
        <v>4027</v>
      </c>
      <c r="H995" s="7">
        <v>44679</v>
      </c>
      <c r="I995" s="6">
        <v>127838.25</v>
      </c>
      <c r="J995" s="6">
        <v>23010.89</v>
      </c>
      <c r="K995" s="4">
        <v>29420090</v>
      </c>
      <c r="L995" s="3" t="s">
        <v>2961</v>
      </c>
      <c r="M995" s="3" t="s">
        <v>1590</v>
      </c>
      <c r="N995" s="5">
        <f t="shared" si="15"/>
        <v>18.000003911192465</v>
      </c>
    </row>
    <row r="996" spans="1:14" ht="14.4" x14ac:dyDescent="0.3">
      <c r="A996" s="3" t="s">
        <v>2962</v>
      </c>
      <c r="B996" s="3" t="s">
        <v>905</v>
      </c>
      <c r="C996" s="3" t="s">
        <v>672</v>
      </c>
      <c r="D996" s="3" t="s">
        <v>906</v>
      </c>
      <c r="E996" s="3" t="s">
        <v>80</v>
      </c>
      <c r="F996" s="3" t="s">
        <v>2963</v>
      </c>
      <c r="G996" s="3">
        <v>143</v>
      </c>
      <c r="H996" s="7">
        <v>44665</v>
      </c>
      <c r="I996" s="6">
        <v>215065.4</v>
      </c>
      <c r="J996" s="6"/>
      <c r="K996" s="4">
        <v>39204900</v>
      </c>
      <c r="L996" s="3" t="s">
        <v>2964</v>
      </c>
      <c r="M996" s="3" t="s">
        <v>2965</v>
      </c>
      <c r="N996" s="5">
        <f t="shared" si="15"/>
        <v>0</v>
      </c>
    </row>
    <row r="997" spans="1:14" ht="14.4" x14ac:dyDescent="0.3">
      <c r="A997" s="3" t="s">
        <v>2966</v>
      </c>
      <c r="B997" s="3" t="s">
        <v>917</v>
      </c>
      <c r="C997" s="3" t="s">
        <v>20</v>
      </c>
      <c r="D997" s="3" t="s">
        <v>918</v>
      </c>
      <c r="E997" s="3" t="s">
        <v>22</v>
      </c>
      <c r="F997" s="3" t="s">
        <v>2967</v>
      </c>
      <c r="G997" s="3" t="s">
        <v>4028</v>
      </c>
      <c r="H997" s="7">
        <v>44664</v>
      </c>
      <c r="I997" s="6">
        <v>244000</v>
      </c>
      <c r="J997" s="6">
        <v>43920</v>
      </c>
      <c r="K997" s="4">
        <v>2933</v>
      </c>
      <c r="L997" s="3" t="s">
        <v>355</v>
      </c>
      <c r="M997" s="3" t="s">
        <v>2968</v>
      </c>
      <c r="N997" s="5">
        <f t="shared" si="15"/>
        <v>18</v>
      </c>
    </row>
    <row r="998" spans="1:14" ht="14.4" x14ac:dyDescent="0.3">
      <c r="A998" s="3" t="s">
        <v>2969</v>
      </c>
      <c r="B998" s="3" t="s">
        <v>2970</v>
      </c>
      <c r="C998" s="3" t="s">
        <v>13</v>
      </c>
      <c r="D998" s="3" t="s">
        <v>2971</v>
      </c>
      <c r="E998" s="3" t="s">
        <v>15</v>
      </c>
      <c r="F998" s="3" t="s">
        <v>2972</v>
      </c>
      <c r="G998" s="3" t="s">
        <v>4029</v>
      </c>
      <c r="H998" s="7">
        <v>44659</v>
      </c>
      <c r="I998" s="6">
        <v>104000</v>
      </c>
      <c r="J998" s="6">
        <v>18720</v>
      </c>
      <c r="K998" s="4">
        <v>29420090</v>
      </c>
      <c r="L998" s="3" t="s">
        <v>2973</v>
      </c>
      <c r="M998" s="3" t="s">
        <v>148</v>
      </c>
      <c r="N998" s="5">
        <f t="shared" si="15"/>
        <v>18</v>
      </c>
    </row>
    <row r="999" spans="1:14" ht="14.4" x14ac:dyDescent="0.3">
      <c r="A999" s="3" t="s">
        <v>2974</v>
      </c>
      <c r="B999" s="3" t="s">
        <v>905</v>
      </c>
      <c r="C999" s="3" t="s">
        <v>672</v>
      </c>
      <c r="D999" s="3" t="s">
        <v>906</v>
      </c>
      <c r="E999" s="3" t="s">
        <v>80</v>
      </c>
      <c r="F999" s="3" t="s">
        <v>2975</v>
      </c>
      <c r="G999" s="3">
        <v>48</v>
      </c>
      <c r="H999" s="7">
        <v>44658</v>
      </c>
      <c r="I999" s="6">
        <v>259814.39999999999</v>
      </c>
      <c r="J999" s="6"/>
      <c r="K999" s="4">
        <v>39204900</v>
      </c>
      <c r="L999" s="3" t="s">
        <v>2976</v>
      </c>
      <c r="M999" s="3" t="s">
        <v>2977</v>
      </c>
      <c r="N999" s="5">
        <f t="shared" si="15"/>
        <v>0</v>
      </c>
    </row>
    <row r="1000" spans="1:14" ht="14.4" x14ac:dyDescent="0.3">
      <c r="A1000" s="3" t="s">
        <v>2978</v>
      </c>
      <c r="B1000" s="3" t="s">
        <v>803</v>
      </c>
      <c r="C1000" s="3" t="s">
        <v>535</v>
      </c>
      <c r="D1000" s="3" t="s">
        <v>804</v>
      </c>
      <c r="E1000" s="3" t="s">
        <v>378</v>
      </c>
      <c r="F1000" s="3" t="s">
        <v>2979</v>
      </c>
      <c r="G1000" s="3" t="s">
        <v>4030</v>
      </c>
      <c r="H1000" s="7">
        <v>44678</v>
      </c>
      <c r="I1000" s="6">
        <v>554375</v>
      </c>
      <c r="J1000" s="6">
        <v>99787.5</v>
      </c>
      <c r="K1000" s="4">
        <v>96020030</v>
      </c>
      <c r="L1000" s="3"/>
      <c r="M1000" s="3" t="s">
        <v>2980</v>
      </c>
      <c r="N1000" s="5">
        <f t="shared" si="15"/>
        <v>18</v>
      </c>
    </row>
    <row r="1001" spans="1:14" ht="14.4" x14ac:dyDescent="0.3">
      <c r="A1001" s="3" t="s">
        <v>2981</v>
      </c>
      <c r="B1001" s="3" t="s">
        <v>829</v>
      </c>
      <c r="C1001" s="3" t="s">
        <v>56</v>
      </c>
      <c r="D1001" s="3" t="s">
        <v>830</v>
      </c>
      <c r="E1001" s="3" t="s">
        <v>831</v>
      </c>
      <c r="F1001" s="3" t="s">
        <v>2982</v>
      </c>
      <c r="G1001" s="3">
        <v>35</v>
      </c>
      <c r="H1001" s="7">
        <v>44669</v>
      </c>
      <c r="I1001" s="6">
        <v>93432.7</v>
      </c>
      <c r="J1001" s="6">
        <v>16817.89</v>
      </c>
      <c r="K1001" s="4">
        <v>76071995</v>
      </c>
      <c r="L1001" s="3"/>
      <c r="M1001" s="3" t="s">
        <v>98</v>
      </c>
      <c r="N1001" s="5">
        <f t="shared" si="15"/>
        <v>18.000004281156382</v>
      </c>
    </row>
    <row r="1002" spans="1:14" ht="14.4" x14ac:dyDescent="0.3">
      <c r="A1002" s="3" t="s">
        <v>2983</v>
      </c>
      <c r="B1002" s="3" t="s">
        <v>2353</v>
      </c>
      <c r="C1002" s="3" t="s">
        <v>20</v>
      </c>
      <c r="D1002" s="3" t="s">
        <v>2354</v>
      </c>
      <c r="E1002" s="3" t="s">
        <v>22</v>
      </c>
      <c r="F1002" s="3" t="s">
        <v>2984</v>
      </c>
      <c r="G1002" s="3" t="s">
        <v>4031</v>
      </c>
      <c r="H1002" s="7">
        <v>44658</v>
      </c>
      <c r="I1002" s="6">
        <v>36550</v>
      </c>
      <c r="J1002" s="6">
        <v>6579</v>
      </c>
      <c r="K1002" s="4">
        <v>8516</v>
      </c>
      <c r="L1002" s="3"/>
      <c r="M1002" s="3" t="s">
        <v>2985</v>
      </c>
      <c r="N1002" s="5">
        <f t="shared" si="15"/>
        <v>18</v>
      </c>
    </row>
    <row r="1003" spans="1:14" ht="14.4" x14ac:dyDescent="0.3">
      <c r="A1003" s="3" t="s">
        <v>2986</v>
      </c>
      <c r="B1003" s="3" t="s">
        <v>2987</v>
      </c>
      <c r="C1003" s="3" t="s">
        <v>20</v>
      </c>
      <c r="D1003" s="3" t="s">
        <v>874</v>
      </c>
      <c r="E1003" s="3" t="s">
        <v>22</v>
      </c>
      <c r="F1003" s="3" t="s">
        <v>2988</v>
      </c>
      <c r="G1003" s="3" t="s">
        <v>4032</v>
      </c>
      <c r="H1003" s="7">
        <v>44651</v>
      </c>
      <c r="I1003" s="6">
        <v>230500</v>
      </c>
      <c r="J1003" s="6">
        <v>41490</v>
      </c>
      <c r="K1003" s="4">
        <v>29420090</v>
      </c>
      <c r="L1003" s="3"/>
      <c r="M1003" s="3" t="s">
        <v>2989</v>
      </c>
      <c r="N1003" s="5">
        <f t="shared" si="15"/>
        <v>18</v>
      </c>
    </row>
    <row r="1004" spans="1:14" ht="14.4" x14ac:dyDescent="0.3">
      <c r="A1004" s="3" t="s">
        <v>2990</v>
      </c>
      <c r="B1004" s="3" t="s">
        <v>2991</v>
      </c>
      <c r="C1004" s="3" t="s">
        <v>20</v>
      </c>
      <c r="D1004" s="3" t="s">
        <v>2992</v>
      </c>
      <c r="E1004" s="3" t="s">
        <v>22</v>
      </c>
      <c r="F1004" s="3" t="s">
        <v>2993</v>
      </c>
      <c r="G1004" s="3">
        <v>3</v>
      </c>
      <c r="H1004" s="7">
        <v>44653</v>
      </c>
      <c r="I1004" s="6">
        <v>71700</v>
      </c>
      <c r="J1004" s="6">
        <v>12906</v>
      </c>
      <c r="K1004" s="4">
        <v>90279090</v>
      </c>
      <c r="L1004" s="3" t="s">
        <v>2994</v>
      </c>
      <c r="M1004" s="3" t="s">
        <v>1590</v>
      </c>
      <c r="N1004" s="5">
        <f t="shared" si="15"/>
        <v>18</v>
      </c>
    </row>
    <row r="1005" spans="1:14" ht="14.4" x14ac:dyDescent="0.3">
      <c r="A1005" s="3" t="s">
        <v>2995</v>
      </c>
      <c r="B1005" s="3" t="s">
        <v>810</v>
      </c>
      <c r="C1005" s="3" t="s">
        <v>20</v>
      </c>
      <c r="D1005" s="3" t="s">
        <v>843</v>
      </c>
      <c r="E1005" s="3" t="s">
        <v>22</v>
      </c>
      <c r="F1005" s="3" t="s">
        <v>2996</v>
      </c>
      <c r="G1005" s="3" t="s">
        <v>4033</v>
      </c>
      <c r="H1005" s="7">
        <v>44677</v>
      </c>
      <c r="I1005" s="6">
        <v>122567</v>
      </c>
      <c r="J1005" s="6">
        <v>0</v>
      </c>
      <c r="K1005" s="4">
        <v>48192020</v>
      </c>
      <c r="L1005" s="3" t="s">
        <v>845</v>
      </c>
      <c r="M1005" s="3" t="s">
        <v>1430</v>
      </c>
      <c r="N1005" s="5">
        <f t="shared" si="15"/>
        <v>0</v>
      </c>
    </row>
    <row r="1006" spans="1:14" ht="14.4" x14ac:dyDescent="0.3">
      <c r="A1006" s="3" t="s">
        <v>2997</v>
      </c>
      <c r="B1006" s="3" t="s">
        <v>810</v>
      </c>
      <c r="C1006" s="3" t="s">
        <v>20</v>
      </c>
      <c r="D1006" s="3" t="s">
        <v>843</v>
      </c>
      <c r="E1006" s="3" t="s">
        <v>22</v>
      </c>
      <c r="F1006" s="3" t="s">
        <v>2998</v>
      </c>
      <c r="G1006" s="3" t="s">
        <v>4034</v>
      </c>
      <c r="H1006" s="7">
        <v>44660</v>
      </c>
      <c r="I1006" s="6">
        <v>83040</v>
      </c>
      <c r="J1006" s="6">
        <v>0</v>
      </c>
      <c r="K1006" s="4">
        <v>481910</v>
      </c>
      <c r="L1006" s="3" t="s">
        <v>845</v>
      </c>
      <c r="M1006" s="3" t="s">
        <v>2999</v>
      </c>
      <c r="N1006" s="5">
        <f t="shared" si="15"/>
        <v>0</v>
      </c>
    </row>
    <row r="1007" spans="1:14" ht="14.4" x14ac:dyDescent="0.3">
      <c r="A1007" s="3" t="s">
        <v>3000</v>
      </c>
      <c r="B1007" s="3" t="s">
        <v>873</v>
      </c>
      <c r="C1007" s="3" t="s">
        <v>20</v>
      </c>
      <c r="D1007" s="3" t="s">
        <v>874</v>
      </c>
      <c r="E1007" s="3" t="s">
        <v>22</v>
      </c>
      <c r="F1007" s="3" t="s">
        <v>3001</v>
      </c>
      <c r="G1007" s="3" t="s">
        <v>4035</v>
      </c>
      <c r="H1007" s="7">
        <v>44656</v>
      </c>
      <c r="I1007" s="6">
        <v>46836</v>
      </c>
      <c r="J1007" s="6">
        <v>8430.48</v>
      </c>
      <c r="K1007" s="4">
        <v>29339900</v>
      </c>
      <c r="L1007" s="3" t="s">
        <v>876</v>
      </c>
      <c r="M1007" s="3" t="s">
        <v>1590</v>
      </c>
      <c r="N1007" s="5">
        <f t="shared" si="15"/>
        <v>18</v>
      </c>
    </row>
    <row r="1008" spans="1:14" ht="14.4" x14ac:dyDescent="0.3">
      <c r="A1008" s="3" t="s">
        <v>3002</v>
      </c>
      <c r="B1008" s="3" t="s">
        <v>810</v>
      </c>
      <c r="C1008" s="3" t="s">
        <v>20</v>
      </c>
      <c r="D1008" s="3" t="s">
        <v>843</v>
      </c>
      <c r="E1008" s="3" t="s">
        <v>22</v>
      </c>
      <c r="F1008" s="3" t="s">
        <v>3003</v>
      </c>
      <c r="G1008" s="3" t="s">
        <v>4036</v>
      </c>
      <c r="H1008" s="7">
        <v>44671</v>
      </c>
      <c r="I1008" s="6">
        <v>51011</v>
      </c>
      <c r="J1008" s="6">
        <v>0</v>
      </c>
      <c r="K1008" s="4">
        <v>48192090</v>
      </c>
      <c r="L1008" s="3" t="s">
        <v>845</v>
      </c>
      <c r="M1008" s="3" t="s">
        <v>3004</v>
      </c>
      <c r="N1008" s="5">
        <f t="shared" si="15"/>
        <v>0</v>
      </c>
    </row>
    <row r="1009" spans="1:14" ht="14.4" x14ac:dyDescent="0.3">
      <c r="A1009" s="3" t="s">
        <v>3005</v>
      </c>
      <c r="B1009" s="3" t="s">
        <v>3006</v>
      </c>
      <c r="C1009" s="3" t="s">
        <v>20</v>
      </c>
      <c r="D1009" s="3" t="s">
        <v>3007</v>
      </c>
      <c r="E1009" s="3" t="s">
        <v>22</v>
      </c>
      <c r="F1009" s="3" t="s">
        <v>3008</v>
      </c>
      <c r="G1009" s="3" t="s">
        <v>4037</v>
      </c>
      <c r="H1009" s="7">
        <v>44656</v>
      </c>
      <c r="I1009" s="6">
        <v>86000</v>
      </c>
      <c r="J1009" s="6">
        <v>15480</v>
      </c>
      <c r="K1009" s="4">
        <v>28112200</v>
      </c>
      <c r="L1009" s="3" t="s">
        <v>3009</v>
      </c>
      <c r="M1009" s="3" t="s">
        <v>98</v>
      </c>
      <c r="N1009" s="5">
        <f t="shared" si="15"/>
        <v>18</v>
      </c>
    </row>
    <row r="1010" spans="1:14" ht="14.4" x14ac:dyDescent="0.3">
      <c r="A1010" s="3" t="s">
        <v>3010</v>
      </c>
      <c r="B1010" s="3" t="s">
        <v>803</v>
      </c>
      <c r="C1010" s="3" t="s">
        <v>535</v>
      </c>
      <c r="D1010" s="3" t="s">
        <v>804</v>
      </c>
      <c r="E1010" s="3" t="s">
        <v>378</v>
      </c>
      <c r="F1010" s="3" t="s">
        <v>3011</v>
      </c>
      <c r="G1010" s="3" t="s">
        <v>4038</v>
      </c>
      <c r="H1010" s="7">
        <v>44655</v>
      </c>
      <c r="I1010" s="6">
        <v>37500</v>
      </c>
      <c r="J1010" s="6">
        <v>6750</v>
      </c>
      <c r="K1010" s="4">
        <v>96020030</v>
      </c>
      <c r="L1010" s="3"/>
      <c r="M1010" s="3" t="s">
        <v>98</v>
      </c>
      <c r="N1010" s="5">
        <f t="shared" si="15"/>
        <v>18</v>
      </c>
    </row>
    <row r="1011" spans="1:14" ht="14.4" x14ac:dyDescent="0.3">
      <c r="A1011" s="3" t="s">
        <v>3012</v>
      </c>
      <c r="B1011" s="3" t="s">
        <v>2420</v>
      </c>
      <c r="C1011" s="3" t="s">
        <v>20</v>
      </c>
      <c r="D1011" s="3" t="s">
        <v>865</v>
      </c>
      <c r="E1011" s="3" t="s">
        <v>22</v>
      </c>
      <c r="F1011" s="3" t="s">
        <v>3013</v>
      </c>
      <c r="G1011" s="3">
        <v>257</v>
      </c>
      <c r="H1011" s="7">
        <v>44708</v>
      </c>
      <c r="I1011" s="6">
        <v>105512.5</v>
      </c>
      <c r="J1011" s="6">
        <v>18992.25</v>
      </c>
      <c r="K1011" s="4">
        <v>39219023</v>
      </c>
      <c r="L1011" s="3"/>
      <c r="M1011" s="3" t="s">
        <v>98</v>
      </c>
      <c r="N1011" s="5">
        <f t="shared" si="15"/>
        <v>18</v>
      </c>
    </row>
    <row r="1012" spans="1:14" ht="14.4" x14ac:dyDescent="0.3">
      <c r="A1012" s="3" t="s">
        <v>3014</v>
      </c>
      <c r="B1012" s="3" t="s">
        <v>829</v>
      </c>
      <c r="C1012" s="3" t="s">
        <v>56</v>
      </c>
      <c r="D1012" s="3" t="s">
        <v>830</v>
      </c>
      <c r="E1012" s="3" t="s">
        <v>831</v>
      </c>
      <c r="F1012" s="3" t="s">
        <v>3015</v>
      </c>
      <c r="G1012" s="3">
        <v>69</v>
      </c>
      <c r="H1012" s="7">
        <v>44680</v>
      </c>
      <c r="I1012" s="6">
        <v>57045.45</v>
      </c>
      <c r="J1012" s="6">
        <v>10268.18</v>
      </c>
      <c r="K1012" s="4">
        <v>76071995</v>
      </c>
      <c r="L1012" s="3"/>
      <c r="M1012" s="3" t="s">
        <v>2550</v>
      </c>
      <c r="N1012" s="5">
        <f t="shared" si="15"/>
        <v>17.999998247011813</v>
      </c>
    </row>
    <row r="1013" spans="1:14" ht="14.4" x14ac:dyDescent="0.3">
      <c r="A1013" s="3" t="s">
        <v>3016</v>
      </c>
      <c r="B1013" s="3" t="s">
        <v>887</v>
      </c>
      <c r="C1013" s="3" t="s">
        <v>20</v>
      </c>
      <c r="D1013" s="3" t="s">
        <v>799</v>
      </c>
      <c r="E1013" s="3" t="s">
        <v>22</v>
      </c>
      <c r="F1013" s="3" t="s">
        <v>3017</v>
      </c>
      <c r="G1013" s="3" t="s">
        <v>4039</v>
      </c>
      <c r="H1013" s="7">
        <v>44699</v>
      </c>
      <c r="I1013" s="6">
        <v>86000</v>
      </c>
      <c r="J1013" s="6">
        <v>15480</v>
      </c>
      <c r="K1013" s="4">
        <v>28112200</v>
      </c>
      <c r="L1013" s="3" t="s">
        <v>2688</v>
      </c>
      <c r="M1013" s="3" t="s">
        <v>98</v>
      </c>
      <c r="N1013" s="5">
        <f t="shared" si="15"/>
        <v>18</v>
      </c>
    </row>
    <row r="1014" spans="1:14" ht="14.4" x14ac:dyDescent="0.3">
      <c r="A1014" s="3" t="s">
        <v>3018</v>
      </c>
      <c r="B1014" s="3" t="s">
        <v>859</v>
      </c>
      <c r="C1014" s="3" t="s">
        <v>134</v>
      </c>
      <c r="D1014" s="3" t="s">
        <v>860</v>
      </c>
      <c r="E1014" s="3" t="s">
        <v>15</v>
      </c>
      <c r="F1014" s="3" t="s">
        <v>3019</v>
      </c>
      <c r="G1014" s="3" t="s">
        <v>4040</v>
      </c>
      <c r="H1014" s="7">
        <v>44701</v>
      </c>
      <c r="I1014" s="6">
        <v>193500</v>
      </c>
      <c r="J1014" s="6">
        <v>34830</v>
      </c>
      <c r="K1014" s="4">
        <v>29420090</v>
      </c>
      <c r="L1014" s="3"/>
      <c r="M1014" s="3" t="s">
        <v>98</v>
      </c>
      <c r="N1014" s="5">
        <f t="shared" si="15"/>
        <v>18</v>
      </c>
    </row>
    <row r="1015" spans="1:14" ht="14.4" x14ac:dyDescent="0.3">
      <c r="A1015" s="3" t="s">
        <v>3020</v>
      </c>
      <c r="B1015" s="3" t="s">
        <v>1470</v>
      </c>
      <c r="C1015" s="3" t="s">
        <v>56</v>
      </c>
      <c r="D1015" s="3" t="s">
        <v>3021</v>
      </c>
      <c r="E1015" s="3" t="s">
        <v>204</v>
      </c>
      <c r="F1015" s="3" t="s">
        <v>3022</v>
      </c>
      <c r="G1015" s="3" t="s">
        <v>4041</v>
      </c>
      <c r="H1015" s="7">
        <v>44699</v>
      </c>
      <c r="I1015" s="6">
        <v>263573.71999999997</v>
      </c>
      <c r="J1015" s="6">
        <v>47443.27</v>
      </c>
      <c r="K1015" s="4">
        <v>29420090</v>
      </c>
      <c r="L1015" s="3" t="s">
        <v>3023</v>
      </c>
      <c r="M1015" s="3" t="s">
        <v>3024</v>
      </c>
      <c r="N1015" s="5">
        <f t="shared" si="15"/>
        <v>18.000000151760201</v>
      </c>
    </row>
    <row r="1016" spans="1:14" ht="14.4" x14ac:dyDescent="0.3">
      <c r="A1016" s="3" t="s">
        <v>3025</v>
      </c>
      <c r="B1016" s="3" t="s">
        <v>829</v>
      </c>
      <c r="C1016" s="3" t="s">
        <v>56</v>
      </c>
      <c r="D1016" s="3" t="s">
        <v>830</v>
      </c>
      <c r="E1016" s="3" t="s">
        <v>831</v>
      </c>
      <c r="F1016" s="3" t="s">
        <v>3026</v>
      </c>
      <c r="G1016" s="3">
        <v>106</v>
      </c>
      <c r="H1016" s="7">
        <v>44699</v>
      </c>
      <c r="I1016" s="6">
        <v>57576.04</v>
      </c>
      <c r="J1016" s="6">
        <v>10363.69</v>
      </c>
      <c r="K1016" s="4">
        <v>76071995</v>
      </c>
      <c r="L1016" s="3"/>
      <c r="M1016" s="3" t="s">
        <v>98</v>
      </c>
      <c r="N1016" s="5">
        <f t="shared" si="15"/>
        <v>18.000004863134041</v>
      </c>
    </row>
    <row r="1017" spans="1:14" ht="14.4" x14ac:dyDescent="0.3">
      <c r="A1017" s="3" t="s">
        <v>3027</v>
      </c>
      <c r="B1017" s="3" t="s">
        <v>859</v>
      </c>
      <c r="C1017" s="3" t="s">
        <v>134</v>
      </c>
      <c r="D1017" s="3" t="s">
        <v>860</v>
      </c>
      <c r="E1017" s="3" t="s">
        <v>15</v>
      </c>
      <c r="F1017" s="3" t="s">
        <v>3028</v>
      </c>
      <c r="G1017" s="3" t="s">
        <v>4042</v>
      </c>
      <c r="H1017" s="7">
        <v>44694</v>
      </c>
      <c r="I1017" s="6">
        <v>162500</v>
      </c>
      <c r="J1017" s="6">
        <v>29250</v>
      </c>
      <c r="K1017" s="4">
        <v>29420090</v>
      </c>
      <c r="L1017" s="3"/>
      <c r="M1017" s="3" t="s">
        <v>597</v>
      </c>
      <c r="N1017" s="5">
        <f t="shared" si="15"/>
        <v>18</v>
      </c>
    </row>
    <row r="1018" spans="1:14" ht="14.4" x14ac:dyDescent="0.3">
      <c r="A1018" s="3" t="s">
        <v>3029</v>
      </c>
      <c r="B1018" s="3" t="s">
        <v>810</v>
      </c>
      <c r="C1018" s="3" t="s">
        <v>20</v>
      </c>
      <c r="D1018" s="3" t="s">
        <v>843</v>
      </c>
      <c r="E1018" s="3" t="s">
        <v>22</v>
      </c>
      <c r="F1018" s="3" t="s">
        <v>3030</v>
      </c>
      <c r="G1018" s="3" t="s">
        <v>4043</v>
      </c>
      <c r="H1018" s="7">
        <v>44687</v>
      </c>
      <c r="I1018" s="6">
        <v>124434</v>
      </c>
      <c r="J1018" s="6">
        <v>0</v>
      </c>
      <c r="K1018" s="4">
        <v>48192020</v>
      </c>
      <c r="L1018" s="3" t="s">
        <v>845</v>
      </c>
      <c r="M1018" s="3" t="s">
        <v>98</v>
      </c>
      <c r="N1018" s="5">
        <f t="shared" si="15"/>
        <v>0</v>
      </c>
    </row>
    <row r="1019" spans="1:14" ht="14.4" x14ac:dyDescent="0.3">
      <c r="A1019" s="3" t="s">
        <v>3031</v>
      </c>
      <c r="B1019" s="3" t="s">
        <v>819</v>
      </c>
      <c r="C1019" s="3" t="s">
        <v>20</v>
      </c>
      <c r="D1019" s="3" t="s">
        <v>820</v>
      </c>
      <c r="E1019" s="3" t="s">
        <v>22</v>
      </c>
      <c r="F1019" s="3" t="s">
        <v>3032</v>
      </c>
      <c r="G1019" s="3" t="s">
        <v>4044</v>
      </c>
      <c r="H1019" s="7">
        <v>44686</v>
      </c>
      <c r="I1019" s="6">
        <v>230500</v>
      </c>
      <c r="J1019" s="6">
        <v>41490</v>
      </c>
      <c r="K1019" s="4">
        <v>29420090</v>
      </c>
      <c r="L1019" s="3"/>
      <c r="M1019" s="3" t="s">
        <v>3033</v>
      </c>
      <c r="N1019" s="5">
        <f t="shared" si="15"/>
        <v>18</v>
      </c>
    </row>
    <row r="1020" spans="1:14" ht="14.4" x14ac:dyDescent="0.3">
      <c r="A1020" s="3" t="s">
        <v>3034</v>
      </c>
      <c r="B1020" s="3" t="s">
        <v>810</v>
      </c>
      <c r="C1020" s="3" t="s">
        <v>20</v>
      </c>
      <c r="D1020" s="3" t="s">
        <v>843</v>
      </c>
      <c r="E1020" s="3" t="s">
        <v>22</v>
      </c>
      <c r="F1020" s="3" t="s">
        <v>3035</v>
      </c>
      <c r="G1020" s="3" t="s">
        <v>4045</v>
      </c>
      <c r="H1020" s="7">
        <v>44684</v>
      </c>
      <c r="I1020" s="6">
        <v>130390</v>
      </c>
      <c r="J1020" s="6">
        <v>0</v>
      </c>
      <c r="K1020" s="4">
        <v>48192020</v>
      </c>
      <c r="L1020" s="3" t="s">
        <v>3036</v>
      </c>
      <c r="M1020" s="3" t="s">
        <v>2550</v>
      </c>
      <c r="N1020" s="5">
        <f t="shared" si="15"/>
        <v>0</v>
      </c>
    </row>
    <row r="1021" spans="1:14" ht="14.4" x14ac:dyDescent="0.3">
      <c r="A1021" s="3" t="s">
        <v>3037</v>
      </c>
      <c r="B1021" s="3" t="s">
        <v>3038</v>
      </c>
      <c r="C1021" s="3" t="s">
        <v>20</v>
      </c>
      <c r="D1021" s="3" t="s">
        <v>3039</v>
      </c>
      <c r="E1021" s="3" t="s">
        <v>22</v>
      </c>
      <c r="F1021" s="3" t="s">
        <v>3040</v>
      </c>
      <c r="G1021" s="3" t="s">
        <v>4046</v>
      </c>
      <c r="H1021" s="7">
        <v>44701</v>
      </c>
      <c r="I1021" s="6">
        <v>6000</v>
      </c>
      <c r="J1021" s="6">
        <v>1080</v>
      </c>
      <c r="K1021" s="4">
        <v>84143000</v>
      </c>
      <c r="L1021" s="3"/>
      <c r="M1021" s="3" t="s">
        <v>3041</v>
      </c>
      <c r="N1021" s="5">
        <f t="shared" si="15"/>
        <v>18</v>
      </c>
    </row>
    <row r="1022" spans="1:14" ht="14.4" x14ac:dyDescent="0.3">
      <c r="A1022" s="3" t="s">
        <v>3042</v>
      </c>
      <c r="B1022" s="3" t="s">
        <v>815</v>
      </c>
      <c r="C1022" s="3" t="s">
        <v>20</v>
      </c>
      <c r="D1022" s="3" t="s">
        <v>816</v>
      </c>
      <c r="E1022" s="3" t="s">
        <v>22</v>
      </c>
      <c r="F1022" s="3" t="s">
        <v>3043</v>
      </c>
      <c r="G1022" s="3" t="s">
        <v>4047</v>
      </c>
      <c r="H1022" s="7">
        <v>44682</v>
      </c>
      <c r="I1022" s="6">
        <v>98559</v>
      </c>
      <c r="J1022" s="6">
        <v>17740.62</v>
      </c>
      <c r="K1022" s="4">
        <v>4819</v>
      </c>
      <c r="L1022" s="3"/>
      <c r="M1022" s="3" t="s">
        <v>2550</v>
      </c>
      <c r="N1022" s="5">
        <f t="shared" si="15"/>
        <v>18</v>
      </c>
    </row>
    <row r="1023" spans="1:14" ht="14.4" x14ac:dyDescent="0.3">
      <c r="A1023" s="3" t="s">
        <v>3044</v>
      </c>
      <c r="B1023" s="3" t="s">
        <v>1470</v>
      </c>
      <c r="C1023" s="3" t="s">
        <v>56</v>
      </c>
      <c r="D1023" s="3" t="s">
        <v>3021</v>
      </c>
      <c r="E1023" s="3" t="s">
        <v>204</v>
      </c>
      <c r="F1023" s="3" t="s">
        <v>3045</v>
      </c>
      <c r="G1023" s="3" t="s">
        <v>4048</v>
      </c>
      <c r="H1023" s="7">
        <v>44688</v>
      </c>
      <c r="I1023" s="6">
        <v>23561.78</v>
      </c>
      <c r="J1023" s="6">
        <v>4241.12</v>
      </c>
      <c r="K1023" s="4">
        <v>29214990</v>
      </c>
      <c r="L1023" s="3" t="s">
        <v>3046</v>
      </c>
      <c r="M1023" s="3" t="s">
        <v>1590</v>
      </c>
      <c r="N1023" s="5">
        <f t="shared" si="15"/>
        <v>17.999998302335392</v>
      </c>
    </row>
    <row r="1024" spans="1:14" ht="14.4" x14ac:dyDescent="0.3">
      <c r="A1024" s="3" t="s">
        <v>3047</v>
      </c>
      <c r="B1024" s="3" t="s">
        <v>911</v>
      </c>
      <c r="C1024" s="3" t="s">
        <v>912</v>
      </c>
      <c r="D1024" s="3" t="s">
        <v>913</v>
      </c>
      <c r="E1024" s="3" t="s">
        <v>69</v>
      </c>
      <c r="F1024" s="3" t="s">
        <v>3048</v>
      </c>
      <c r="G1024" s="3" t="s">
        <v>4049</v>
      </c>
      <c r="H1024" s="7">
        <v>44701</v>
      </c>
      <c r="I1024" s="6">
        <v>198000</v>
      </c>
      <c r="J1024" s="6">
        <v>35640</v>
      </c>
      <c r="K1024" s="4">
        <v>34024200</v>
      </c>
      <c r="L1024" s="3" t="s">
        <v>3049</v>
      </c>
      <c r="M1024" s="3"/>
      <c r="N1024" s="5">
        <f t="shared" si="15"/>
        <v>18</v>
      </c>
    </row>
    <row r="1025" spans="1:14" ht="14.4" x14ac:dyDescent="0.3">
      <c r="A1025" s="3" t="s">
        <v>3050</v>
      </c>
      <c r="B1025" s="3" t="s">
        <v>905</v>
      </c>
      <c r="C1025" s="3" t="s">
        <v>672</v>
      </c>
      <c r="D1025" s="3" t="s">
        <v>906</v>
      </c>
      <c r="E1025" s="3" t="s">
        <v>80</v>
      </c>
      <c r="F1025" s="3" t="s">
        <v>3051</v>
      </c>
      <c r="G1025" s="3">
        <v>493</v>
      </c>
      <c r="H1025" s="7">
        <v>44695</v>
      </c>
      <c r="I1025" s="6">
        <v>188733.6</v>
      </c>
      <c r="J1025" s="6"/>
      <c r="K1025" s="4">
        <v>39204900</v>
      </c>
      <c r="L1025" s="3" t="s">
        <v>929</v>
      </c>
      <c r="M1025" s="3" t="s">
        <v>3052</v>
      </c>
      <c r="N1025" s="5">
        <f t="shared" si="15"/>
        <v>0</v>
      </c>
    </row>
    <row r="1026" spans="1:14" ht="14.4" x14ac:dyDescent="0.3">
      <c r="A1026" s="3" t="s">
        <v>3053</v>
      </c>
      <c r="B1026" s="3" t="s">
        <v>3054</v>
      </c>
      <c r="C1026" s="3" t="s">
        <v>20</v>
      </c>
      <c r="D1026" s="3" t="s">
        <v>3055</v>
      </c>
      <c r="E1026" s="3" t="s">
        <v>80</v>
      </c>
      <c r="F1026" s="3" t="s">
        <v>3056</v>
      </c>
      <c r="G1026" s="3" t="s">
        <v>4050</v>
      </c>
      <c r="H1026" s="7">
        <v>44669</v>
      </c>
      <c r="I1026" s="6">
        <v>7247.16</v>
      </c>
      <c r="J1026" s="6">
        <v>1304.49</v>
      </c>
      <c r="K1026" s="4">
        <v>76071995</v>
      </c>
      <c r="L1026" s="3" t="s">
        <v>3057</v>
      </c>
      <c r="M1026" s="3" t="s">
        <v>448</v>
      </c>
      <c r="N1026" s="5">
        <f t="shared" si="15"/>
        <v>18.00001655821039</v>
      </c>
    </row>
    <row r="1027" spans="1:14" ht="14.4" x14ac:dyDescent="0.3">
      <c r="A1027" s="3" t="s">
        <v>3058</v>
      </c>
      <c r="B1027" s="3" t="s">
        <v>3059</v>
      </c>
      <c r="C1027" s="3" t="s">
        <v>20</v>
      </c>
      <c r="D1027" s="3" t="s">
        <v>3060</v>
      </c>
      <c r="E1027" s="3" t="s">
        <v>3061</v>
      </c>
      <c r="F1027" s="3" t="s">
        <v>3062</v>
      </c>
      <c r="G1027" s="3" t="s">
        <v>4051</v>
      </c>
      <c r="H1027" s="7">
        <v>44684</v>
      </c>
      <c r="I1027" s="6">
        <v>112500</v>
      </c>
      <c r="J1027" s="6">
        <v>20250</v>
      </c>
      <c r="K1027" s="4">
        <v>29420014</v>
      </c>
      <c r="L1027" s="3" t="s">
        <v>3063</v>
      </c>
      <c r="M1027" s="3" t="s">
        <v>569</v>
      </c>
      <c r="N1027" s="5">
        <f t="shared" ref="N1027:N1090" si="16">J1027*100/I1027</f>
        <v>18</v>
      </c>
    </row>
    <row r="1028" spans="1:14" ht="14.4" x14ac:dyDescent="0.3">
      <c r="A1028" s="3" t="s">
        <v>3064</v>
      </c>
      <c r="B1028" s="3" t="s">
        <v>3065</v>
      </c>
      <c r="C1028" s="3" t="s">
        <v>20</v>
      </c>
      <c r="D1028" s="3" t="s">
        <v>3066</v>
      </c>
      <c r="E1028" s="3" t="s">
        <v>22</v>
      </c>
      <c r="F1028" s="3" t="s">
        <v>3067</v>
      </c>
      <c r="G1028" s="3" t="s">
        <v>4052</v>
      </c>
      <c r="H1028" s="7">
        <v>44693</v>
      </c>
      <c r="I1028" s="6">
        <v>45761</v>
      </c>
      <c r="J1028" s="6">
        <v>8236.98</v>
      </c>
      <c r="K1028" s="4">
        <v>84198940</v>
      </c>
      <c r="L1028" s="3" t="s">
        <v>3068</v>
      </c>
      <c r="M1028" s="3" t="s">
        <v>3069</v>
      </c>
      <c r="N1028" s="5">
        <f t="shared" si="16"/>
        <v>18</v>
      </c>
    </row>
    <row r="1029" spans="1:14" ht="14.4" x14ac:dyDescent="0.3">
      <c r="A1029" s="3" t="s">
        <v>3070</v>
      </c>
      <c r="B1029" s="3" t="s">
        <v>957</v>
      </c>
      <c r="C1029" s="3" t="s">
        <v>134</v>
      </c>
      <c r="D1029" s="3" t="s">
        <v>958</v>
      </c>
      <c r="E1029" s="3" t="s">
        <v>396</v>
      </c>
      <c r="F1029" s="3" t="s">
        <v>3071</v>
      </c>
      <c r="G1029" s="3">
        <v>27</v>
      </c>
      <c r="H1029" s="7">
        <v>44692</v>
      </c>
      <c r="I1029" s="6">
        <v>43338</v>
      </c>
      <c r="J1029" s="6">
        <v>7800.84</v>
      </c>
      <c r="K1029" s="4">
        <v>4821</v>
      </c>
      <c r="L1029" s="3" t="s">
        <v>960</v>
      </c>
      <c r="M1029" s="3" t="s">
        <v>36</v>
      </c>
      <c r="N1029" s="5">
        <f t="shared" si="16"/>
        <v>18</v>
      </c>
    </row>
    <row r="1030" spans="1:14" ht="14.4" x14ac:dyDescent="0.3">
      <c r="A1030" s="3" t="s">
        <v>3072</v>
      </c>
      <c r="B1030" s="3" t="s">
        <v>182</v>
      </c>
      <c r="C1030" s="3" t="s">
        <v>20</v>
      </c>
      <c r="D1030" s="3" t="s">
        <v>167</v>
      </c>
      <c r="E1030" s="3" t="s">
        <v>22</v>
      </c>
      <c r="F1030" s="3" t="s">
        <v>3073</v>
      </c>
      <c r="G1030" s="3" t="s">
        <v>4053</v>
      </c>
      <c r="H1030" s="7">
        <v>44709</v>
      </c>
      <c r="I1030" s="6">
        <v>263500</v>
      </c>
      <c r="J1030" s="6">
        <v>47430</v>
      </c>
      <c r="K1030" s="4">
        <v>39059990</v>
      </c>
      <c r="L1030" s="3" t="s">
        <v>3074</v>
      </c>
      <c r="M1030" s="3" t="s">
        <v>467</v>
      </c>
      <c r="N1030" s="5">
        <f t="shared" si="16"/>
        <v>18</v>
      </c>
    </row>
    <row r="1031" spans="1:14" ht="14.4" x14ac:dyDescent="0.3">
      <c r="A1031" s="3" t="s">
        <v>3075</v>
      </c>
      <c r="B1031" s="3" t="s">
        <v>178</v>
      </c>
      <c r="C1031" s="3" t="s">
        <v>20</v>
      </c>
      <c r="D1031" s="3" t="s">
        <v>50</v>
      </c>
      <c r="E1031" s="3" t="s">
        <v>22</v>
      </c>
      <c r="F1031" s="3" t="s">
        <v>3076</v>
      </c>
      <c r="G1031" s="3" t="s">
        <v>4054</v>
      </c>
      <c r="H1031" s="7">
        <v>44705</v>
      </c>
      <c r="I1031" s="6">
        <v>50868.1</v>
      </c>
      <c r="J1031" s="6">
        <v>9156.26</v>
      </c>
      <c r="K1031" s="4">
        <v>76071995</v>
      </c>
      <c r="L1031" s="3" t="s">
        <v>180</v>
      </c>
      <c r="M1031" s="3" t="s">
        <v>36</v>
      </c>
      <c r="N1031" s="5">
        <f t="shared" si="16"/>
        <v>18.000003931737179</v>
      </c>
    </row>
    <row r="1032" spans="1:14" ht="14.4" x14ac:dyDescent="0.3">
      <c r="A1032" s="3" t="s">
        <v>3077</v>
      </c>
      <c r="B1032" s="3" t="s">
        <v>556</v>
      </c>
      <c r="C1032" s="3" t="s">
        <v>557</v>
      </c>
      <c r="D1032" s="3" t="s">
        <v>22</v>
      </c>
      <c r="E1032" s="3" t="s">
        <v>15</v>
      </c>
      <c r="F1032" s="3" t="s">
        <v>3078</v>
      </c>
      <c r="G1032" s="3">
        <v>270</v>
      </c>
      <c r="H1032" s="7">
        <v>44702</v>
      </c>
      <c r="I1032" s="6">
        <v>235593</v>
      </c>
      <c r="J1032" s="6">
        <v>42406.74</v>
      </c>
      <c r="K1032" s="4">
        <v>3917</v>
      </c>
      <c r="L1032" s="3" t="s">
        <v>3079</v>
      </c>
      <c r="M1032" s="3" t="s">
        <v>3080</v>
      </c>
      <c r="N1032" s="5">
        <f t="shared" si="16"/>
        <v>18</v>
      </c>
    </row>
    <row r="1033" spans="1:14" ht="14.4" x14ac:dyDescent="0.3">
      <c r="A1033" s="3" t="s">
        <v>3081</v>
      </c>
      <c r="B1033" s="3" t="s">
        <v>182</v>
      </c>
      <c r="C1033" s="3" t="s">
        <v>20</v>
      </c>
      <c r="D1033" s="3" t="s">
        <v>167</v>
      </c>
      <c r="E1033" s="3" t="s">
        <v>22</v>
      </c>
      <c r="F1033" s="3" t="s">
        <v>3082</v>
      </c>
      <c r="G1033" s="3" t="s">
        <v>4055</v>
      </c>
      <c r="H1033" s="7">
        <v>44700</v>
      </c>
      <c r="I1033" s="6">
        <v>166125</v>
      </c>
      <c r="J1033" s="6">
        <v>29902.5</v>
      </c>
      <c r="K1033" s="4">
        <v>29054300</v>
      </c>
      <c r="L1033" s="3" t="s">
        <v>3083</v>
      </c>
      <c r="M1033" s="3" t="s">
        <v>467</v>
      </c>
      <c r="N1033" s="5">
        <f t="shared" si="16"/>
        <v>18</v>
      </c>
    </row>
    <row r="1034" spans="1:14" ht="14.4" x14ac:dyDescent="0.3">
      <c r="A1034" s="3" t="s">
        <v>3084</v>
      </c>
      <c r="B1034" s="3" t="s">
        <v>145</v>
      </c>
      <c r="C1034" s="3" t="s">
        <v>20</v>
      </c>
      <c r="D1034" s="3" t="s">
        <v>489</v>
      </c>
      <c r="E1034" s="3" t="s">
        <v>22</v>
      </c>
      <c r="F1034" s="3" t="s">
        <v>3085</v>
      </c>
      <c r="G1034" s="3" t="s">
        <v>4056</v>
      </c>
      <c r="H1034" s="7">
        <v>44697</v>
      </c>
      <c r="I1034" s="6">
        <v>209750</v>
      </c>
      <c r="J1034" s="6">
        <v>25170</v>
      </c>
      <c r="K1034" s="4">
        <v>11081200</v>
      </c>
      <c r="L1034" s="3"/>
      <c r="M1034" s="3" t="s">
        <v>3086</v>
      </c>
      <c r="N1034" s="5">
        <f t="shared" si="16"/>
        <v>12</v>
      </c>
    </row>
    <row r="1035" spans="1:14" ht="14.4" x14ac:dyDescent="0.3">
      <c r="A1035" s="3" t="s">
        <v>3087</v>
      </c>
      <c r="B1035" s="3" t="s">
        <v>1918</v>
      </c>
      <c r="C1035" s="3" t="s">
        <v>20</v>
      </c>
      <c r="D1035" s="3" t="s">
        <v>112</v>
      </c>
      <c r="E1035" s="3" t="s">
        <v>22</v>
      </c>
      <c r="F1035" s="3" t="s">
        <v>3088</v>
      </c>
      <c r="G1035" s="3">
        <v>310</v>
      </c>
      <c r="H1035" s="7">
        <v>44691</v>
      </c>
      <c r="I1035" s="6">
        <v>84825</v>
      </c>
      <c r="J1035" s="6">
        <v>15268.5</v>
      </c>
      <c r="K1035" s="4">
        <v>48192020</v>
      </c>
      <c r="L1035" s="3"/>
      <c r="M1035" s="3" t="s">
        <v>98</v>
      </c>
      <c r="N1035" s="5">
        <f t="shared" si="16"/>
        <v>18</v>
      </c>
    </row>
    <row r="1036" spans="1:14" ht="14.4" x14ac:dyDescent="0.3">
      <c r="A1036" s="3" t="s">
        <v>3089</v>
      </c>
      <c r="B1036" s="3" t="s">
        <v>768</v>
      </c>
      <c r="C1036" s="3" t="s">
        <v>20</v>
      </c>
      <c r="D1036" s="3" t="s">
        <v>755</v>
      </c>
      <c r="E1036" s="3" t="s">
        <v>22</v>
      </c>
      <c r="F1036" s="3" t="s">
        <v>3090</v>
      </c>
      <c r="G1036" s="3">
        <v>43</v>
      </c>
      <c r="H1036" s="7">
        <v>44689</v>
      </c>
      <c r="I1036" s="6">
        <v>82485</v>
      </c>
      <c r="J1036" s="6">
        <v>9898.2000000000007</v>
      </c>
      <c r="K1036" s="4">
        <v>4802</v>
      </c>
      <c r="L1036" s="3" t="s">
        <v>3091</v>
      </c>
      <c r="M1036" s="3" t="s">
        <v>3092</v>
      </c>
      <c r="N1036" s="5">
        <f t="shared" si="16"/>
        <v>12.000000000000002</v>
      </c>
    </row>
    <row r="1037" spans="1:14" ht="14.4" x14ac:dyDescent="0.3">
      <c r="A1037" s="3" t="s">
        <v>3093</v>
      </c>
      <c r="B1037" s="3" t="s">
        <v>433</v>
      </c>
      <c r="C1037" s="3" t="s">
        <v>20</v>
      </c>
      <c r="D1037" s="3" t="s">
        <v>156</v>
      </c>
      <c r="E1037" s="3" t="s">
        <v>22</v>
      </c>
      <c r="F1037" s="3" t="s">
        <v>3094</v>
      </c>
      <c r="G1037" s="3" t="s">
        <v>4057</v>
      </c>
      <c r="H1037" s="7">
        <v>44686</v>
      </c>
      <c r="I1037" s="6">
        <v>102504</v>
      </c>
      <c r="J1037" s="6">
        <v>18450.72</v>
      </c>
      <c r="K1037" s="4">
        <v>7607</v>
      </c>
      <c r="L1037" s="3" t="s">
        <v>435</v>
      </c>
      <c r="M1037" s="3" t="s">
        <v>436</v>
      </c>
      <c r="N1037" s="5">
        <f t="shared" si="16"/>
        <v>18</v>
      </c>
    </row>
    <row r="1038" spans="1:14" ht="14.4" x14ac:dyDescent="0.3">
      <c r="A1038" s="3" t="s">
        <v>3095</v>
      </c>
      <c r="B1038" s="3" t="s">
        <v>182</v>
      </c>
      <c r="C1038" s="3" t="s">
        <v>20</v>
      </c>
      <c r="D1038" s="3" t="s">
        <v>167</v>
      </c>
      <c r="E1038" s="3" t="s">
        <v>22</v>
      </c>
      <c r="F1038" s="3" t="s">
        <v>3096</v>
      </c>
      <c r="G1038" s="3" t="s">
        <v>4058</v>
      </c>
      <c r="H1038" s="7">
        <v>44686</v>
      </c>
      <c r="I1038" s="6">
        <v>10500</v>
      </c>
      <c r="J1038" s="6">
        <v>525</v>
      </c>
      <c r="K1038" s="4">
        <v>25262000</v>
      </c>
      <c r="L1038" s="3" t="s">
        <v>2232</v>
      </c>
      <c r="M1038" s="3" t="s">
        <v>36</v>
      </c>
      <c r="N1038" s="5">
        <f t="shared" si="16"/>
        <v>5</v>
      </c>
    </row>
    <row r="1039" spans="1:14" ht="14.4" x14ac:dyDescent="0.3">
      <c r="A1039" s="3" t="s">
        <v>3097</v>
      </c>
      <c r="B1039" s="3" t="s">
        <v>182</v>
      </c>
      <c r="C1039" s="3" t="s">
        <v>20</v>
      </c>
      <c r="D1039" s="3" t="s">
        <v>167</v>
      </c>
      <c r="E1039" s="3" t="s">
        <v>22</v>
      </c>
      <c r="F1039" s="3" t="s">
        <v>3098</v>
      </c>
      <c r="G1039" s="3" t="s">
        <v>4059</v>
      </c>
      <c r="H1039" s="7">
        <v>44683</v>
      </c>
      <c r="I1039" s="6">
        <v>90000</v>
      </c>
      <c r="J1039" s="6">
        <v>16200</v>
      </c>
      <c r="K1039" s="4">
        <v>29242990</v>
      </c>
      <c r="L1039" s="3" t="s">
        <v>3099</v>
      </c>
      <c r="M1039" s="3" t="s">
        <v>98</v>
      </c>
      <c r="N1039" s="5">
        <f t="shared" si="16"/>
        <v>18</v>
      </c>
    </row>
    <row r="1040" spans="1:14" ht="14.4" x14ac:dyDescent="0.3">
      <c r="A1040" s="3" t="s">
        <v>3100</v>
      </c>
      <c r="B1040" s="3" t="s">
        <v>1516</v>
      </c>
      <c r="C1040" s="3" t="s">
        <v>26</v>
      </c>
      <c r="D1040" s="3" t="s">
        <v>1517</v>
      </c>
      <c r="E1040" s="3" t="s">
        <v>1518</v>
      </c>
      <c r="F1040" s="3" t="s">
        <v>3101</v>
      </c>
      <c r="G1040" s="3">
        <v>2210135</v>
      </c>
      <c r="H1040" s="7">
        <v>44681</v>
      </c>
      <c r="I1040" s="6">
        <v>1270000</v>
      </c>
      <c r="J1040" s="6"/>
      <c r="K1040" s="4">
        <v>29419090</v>
      </c>
      <c r="L1040" s="3" t="s">
        <v>1906</v>
      </c>
      <c r="M1040" s="3" t="s">
        <v>1615</v>
      </c>
      <c r="N1040" s="5">
        <f t="shared" si="16"/>
        <v>0</v>
      </c>
    </row>
    <row r="1041" spans="1:14" ht="14.4" x14ac:dyDescent="0.3">
      <c r="A1041" s="3" t="s">
        <v>3102</v>
      </c>
      <c r="B1041" s="3" t="s">
        <v>178</v>
      </c>
      <c r="C1041" s="3" t="s">
        <v>20</v>
      </c>
      <c r="D1041" s="3" t="s">
        <v>50</v>
      </c>
      <c r="E1041" s="3" t="s">
        <v>22</v>
      </c>
      <c r="F1041" s="3" t="s">
        <v>3103</v>
      </c>
      <c r="G1041" s="3" t="s">
        <v>4060</v>
      </c>
      <c r="H1041" s="7">
        <v>44711</v>
      </c>
      <c r="I1041" s="6">
        <v>100994.4</v>
      </c>
      <c r="J1041" s="6">
        <v>18179</v>
      </c>
      <c r="K1041" s="4">
        <v>76071995</v>
      </c>
      <c r="L1041" s="3" t="s">
        <v>180</v>
      </c>
      <c r="M1041" s="3" t="s">
        <v>36</v>
      </c>
      <c r="N1041" s="5">
        <f t="shared" si="16"/>
        <v>18.000007921231276</v>
      </c>
    </row>
    <row r="1042" spans="1:14" ht="14.4" x14ac:dyDescent="0.3">
      <c r="A1042" s="3" t="s">
        <v>3104</v>
      </c>
      <c r="B1042" s="3" t="s">
        <v>394</v>
      </c>
      <c r="C1042" s="3" t="s">
        <v>26</v>
      </c>
      <c r="D1042" s="3" t="s">
        <v>395</v>
      </c>
      <c r="E1042" s="3" t="s">
        <v>396</v>
      </c>
      <c r="F1042" s="3" t="s">
        <v>3105</v>
      </c>
      <c r="G1042" s="3" t="s">
        <v>4061</v>
      </c>
      <c r="H1042" s="7">
        <v>44711</v>
      </c>
      <c r="I1042" s="6">
        <v>133016.54999999999</v>
      </c>
      <c r="J1042" s="6">
        <v>23942.98</v>
      </c>
      <c r="K1042" s="4">
        <v>48192090</v>
      </c>
      <c r="L1042" s="3" t="s">
        <v>97</v>
      </c>
      <c r="M1042" s="3" t="s">
        <v>36</v>
      </c>
      <c r="N1042" s="5">
        <f t="shared" si="16"/>
        <v>18.00000075178615</v>
      </c>
    </row>
    <row r="1043" spans="1:14" ht="14.4" x14ac:dyDescent="0.3">
      <c r="A1043" s="3" t="s">
        <v>3106</v>
      </c>
      <c r="B1043" s="3" t="s">
        <v>394</v>
      </c>
      <c r="C1043" s="3" t="s">
        <v>26</v>
      </c>
      <c r="D1043" s="3" t="s">
        <v>395</v>
      </c>
      <c r="E1043" s="3" t="s">
        <v>396</v>
      </c>
      <c r="F1043" s="3" t="s">
        <v>3107</v>
      </c>
      <c r="G1043" s="3" t="s">
        <v>4062</v>
      </c>
      <c r="H1043" s="7">
        <v>44711</v>
      </c>
      <c r="I1043" s="6">
        <v>317434</v>
      </c>
      <c r="J1043" s="6">
        <v>53975.24</v>
      </c>
      <c r="K1043" s="4">
        <v>48192090</v>
      </c>
      <c r="L1043" s="3" t="s">
        <v>97</v>
      </c>
      <c r="M1043" s="3" t="s">
        <v>36</v>
      </c>
      <c r="N1043" s="5">
        <f t="shared" si="16"/>
        <v>17.003610199285522</v>
      </c>
    </row>
    <row r="1044" spans="1:14" ht="14.4" x14ac:dyDescent="0.3">
      <c r="A1044" s="3" t="s">
        <v>3108</v>
      </c>
      <c r="B1044" s="3" t="s">
        <v>133</v>
      </c>
      <c r="C1044" s="3" t="s">
        <v>134</v>
      </c>
      <c r="D1044" s="3" t="s">
        <v>3109</v>
      </c>
      <c r="E1044" s="3" t="s">
        <v>22</v>
      </c>
      <c r="F1044" s="3" t="s">
        <v>3110</v>
      </c>
      <c r="G1044" s="3" t="s">
        <v>4063</v>
      </c>
      <c r="H1044" s="7">
        <v>44709</v>
      </c>
      <c r="I1044" s="6">
        <v>126000</v>
      </c>
      <c r="J1044" s="6">
        <v>6300</v>
      </c>
      <c r="K1044" s="4">
        <v>17011490</v>
      </c>
      <c r="L1044" s="3" t="s">
        <v>138</v>
      </c>
      <c r="M1044" s="3" t="s">
        <v>3111</v>
      </c>
      <c r="N1044" s="5">
        <f t="shared" si="16"/>
        <v>5</v>
      </c>
    </row>
    <row r="1045" spans="1:14" ht="14.4" x14ac:dyDescent="0.3">
      <c r="A1045" s="3" t="s">
        <v>3112</v>
      </c>
      <c r="B1045" s="3" t="s">
        <v>84</v>
      </c>
      <c r="C1045" s="3" t="s">
        <v>20</v>
      </c>
      <c r="D1045" s="3" t="s">
        <v>239</v>
      </c>
      <c r="E1045" s="3" t="s">
        <v>22</v>
      </c>
      <c r="F1045" s="3" t="s">
        <v>3113</v>
      </c>
      <c r="G1045" s="3" t="s">
        <v>4064</v>
      </c>
      <c r="H1045" s="7">
        <v>44706</v>
      </c>
      <c r="I1045" s="6">
        <v>161581</v>
      </c>
      <c r="J1045" s="6">
        <v>29084.58</v>
      </c>
      <c r="K1045" s="4">
        <v>3921</v>
      </c>
      <c r="L1045" s="3" t="s">
        <v>118</v>
      </c>
      <c r="M1045" s="3" t="s">
        <v>2821</v>
      </c>
      <c r="N1045" s="5">
        <f t="shared" si="16"/>
        <v>18</v>
      </c>
    </row>
    <row r="1046" spans="1:14" ht="14.4" x14ac:dyDescent="0.3">
      <c r="A1046" s="3" t="s">
        <v>3114</v>
      </c>
      <c r="B1046" s="3" t="s">
        <v>3115</v>
      </c>
      <c r="C1046" s="3" t="s">
        <v>20</v>
      </c>
      <c r="D1046" s="3" t="s">
        <v>755</v>
      </c>
      <c r="E1046" s="3" t="s">
        <v>22</v>
      </c>
      <c r="F1046" s="3" t="s">
        <v>3116</v>
      </c>
      <c r="G1046" s="3" t="s">
        <v>4065</v>
      </c>
      <c r="H1046" s="7">
        <v>44706</v>
      </c>
      <c r="I1046" s="6">
        <v>130068.75</v>
      </c>
      <c r="J1046" s="6">
        <v>23412.38</v>
      </c>
      <c r="K1046" s="4">
        <v>2933</v>
      </c>
      <c r="L1046" s="3" t="s">
        <v>876</v>
      </c>
      <c r="M1046" s="3" t="s">
        <v>448</v>
      </c>
      <c r="N1046" s="5">
        <f t="shared" si="16"/>
        <v>18.000003844120897</v>
      </c>
    </row>
    <row r="1047" spans="1:14" ht="14.4" x14ac:dyDescent="0.3">
      <c r="A1047" s="3" t="s">
        <v>3117</v>
      </c>
      <c r="B1047" s="3" t="s">
        <v>394</v>
      </c>
      <c r="C1047" s="3" t="s">
        <v>26</v>
      </c>
      <c r="D1047" s="3" t="s">
        <v>395</v>
      </c>
      <c r="E1047" s="3" t="s">
        <v>396</v>
      </c>
      <c r="F1047" s="3" t="s">
        <v>3118</v>
      </c>
      <c r="G1047" s="3" t="s">
        <v>4066</v>
      </c>
      <c r="H1047" s="7">
        <v>44704</v>
      </c>
      <c r="I1047" s="6">
        <v>57672.5</v>
      </c>
      <c r="J1047" s="6">
        <v>10381.06</v>
      </c>
      <c r="K1047" s="4">
        <v>48192090</v>
      </c>
      <c r="L1047" s="3" t="s">
        <v>97</v>
      </c>
      <c r="M1047" s="3" t="s">
        <v>98</v>
      </c>
      <c r="N1047" s="5">
        <f t="shared" si="16"/>
        <v>18.000017339286487</v>
      </c>
    </row>
    <row r="1048" spans="1:14" ht="14.4" x14ac:dyDescent="0.3">
      <c r="A1048" s="3" t="s">
        <v>3119</v>
      </c>
      <c r="B1048" s="3" t="s">
        <v>462</v>
      </c>
      <c r="C1048" s="3" t="s">
        <v>20</v>
      </c>
      <c r="D1048" s="3" t="s">
        <v>50</v>
      </c>
      <c r="E1048" s="3" t="s">
        <v>22</v>
      </c>
      <c r="F1048" s="3" t="s">
        <v>3120</v>
      </c>
      <c r="G1048" s="3" t="s">
        <v>4067</v>
      </c>
      <c r="H1048" s="7">
        <v>44701</v>
      </c>
      <c r="I1048" s="6">
        <v>56251.15</v>
      </c>
      <c r="J1048" s="6">
        <v>10125.200000000001</v>
      </c>
      <c r="K1048" s="4">
        <v>7607</v>
      </c>
      <c r="L1048" s="3" t="s">
        <v>3121</v>
      </c>
      <c r="M1048" s="3" t="s">
        <v>36</v>
      </c>
      <c r="N1048" s="5">
        <f t="shared" si="16"/>
        <v>17.999987555809973</v>
      </c>
    </row>
    <row r="1049" spans="1:14" ht="14.4" x14ac:dyDescent="0.3">
      <c r="A1049" s="3" t="s">
        <v>3122</v>
      </c>
      <c r="B1049" s="3" t="s">
        <v>25</v>
      </c>
      <c r="C1049" s="3" t="s">
        <v>26</v>
      </c>
      <c r="D1049" s="3" t="s">
        <v>27</v>
      </c>
      <c r="E1049" s="3" t="s">
        <v>28</v>
      </c>
      <c r="F1049" s="3" t="s">
        <v>3123</v>
      </c>
      <c r="G1049" s="3" t="s">
        <v>4068</v>
      </c>
      <c r="H1049" s="7">
        <v>44701</v>
      </c>
      <c r="I1049" s="6">
        <v>371658.74</v>
      </c>
      <c r="J1049" s="6">
        <v>66898</v>
      </c>
      <c r="K1049" s="4">
        <v>29420090</v>
      </c>
      <c r="L1049" s="3" t="s">
        <v>31</v>
      </c>
      <c r="M1049" s="3" t="s">
        <v>36</v>
      </c>
      <c r="N1049" s="5">
        <f t="shared" si="16"/>
        <v>17.99984577249549</v>
      </c>
    </row>
    <row r="1050" spans="1:14" ht="14.4" x14ac:dyDescent="0.3">
      <c r="A1050" s="3" t="s">
        <v>3124</v>
      </c>
      <c r="B1050" s="3" t="s">
        <v>84</v>
      </c>
      <c r="C1050" s="3" t="s">
        <v>20</v>
      </c>
      <c r="D1050" s="3" t="s">
        <v>239</v>
      </c>
      <c r="E1050" s="3" t="s">
        <v>22</v>
      </c>
      <c r="F1050" s="3" t="s">
        <v>3125</v>
      </c>
      <c r="G1050" s="3" t="s">
        <v>4069</v>
      </c>
      <c r="H1050" s="7">
        <v>44698</v>
      </c>
      <c r="I1050" s="6">
        <v>79404</v>
      </c>
      <c r="J1050" s="6">
        <v>14292.72</v>
      </c>
      <c r="K1050" s="4">
        <v>3921</v>
      </c>
      <c r="L1050" s="3" t="s">
        <v>118</v>
      </c>
      <c r="M1050" s="3" t="s">
        <v>436</v>
      </c>
      <c r="N1050" s="5">
        <f t="shared" si="16"/>
        <v>18</v>
      </c>
    </row>
    <row r="1051" spans="1:14" ht="14.4" x14ac:dyDescent="0.3">
      <c r="A1051" s="3" t="s">
        <v>3126</v>
      </c>
      <c r="B1051" s="3" t="s">
        <v>423</v>
      </c>
      <c r="C1051" s="3" t="s">
        <v>20</v>
      </c>
      <c r="D1051" s="3" t="s">
        <v>50</v>
      </c>
      <c r="E1051" s="3" t="s">
        <v>22</v>
      </c>
      <c r="F1051" s="3" t="s">
        <v>3127</v>
      </c>
      <c r="G1051" s="3">
        <v>195</v>
      </c>
      <c r="H1051" s="7">
        <v>44699</v>
      </c>
      <c r="I1051" s="6">
        <v>130927.5</v>
      </c>
      <c r="J1051" s="6">
        <v>23566.959999999999</v>
      </c>
      <c r="K1051" s="4">
        <v>39219023</v>
      </c>
      <c r="L1051" s="3" t="s">
        <v>3128</v>
      </c>
      <c r="M1051" s="3" t="s">
        <v>36</v>
      </c>
      <c r="N1051" s="5">
        <f t="shared" si="16"/>
        <v>18.000007637814821</v>
      </c>
    </row>
    <row r="1052" spans="1:14" ht="14.4" x14ac:dyDescent="0.3">
      <c r="A1052" s="3" t="s">
        <v>3129</v>
      </c>
      <c r="B1052" s="3" t="s">
        <v>161</v>
      </c>
      <c r="C1052" s="3" t="s">
        <v>56</v>
      </c>
      <c r="D1052" s="3" t="s">
        <v>57</v>
      </c>
      <c r="E1052" s="3" t="s">
        <v>162</v>
      </c>
      <c r="F1052" s="3" t="s">
        <v>3130</v>
      </c>
      <c r="G1052" s="3" t="s">
        <v>4070</v>
      </c>
      <c r="H1052" s="7">
        <v>44699</v>
      </c>
      <c r="I1052" s="6">
        <v>1154577</v>
      </c>
      <c r="J1052" s="6">
        <v>207823.86</v>
      </c>
      <c r="K1052" s="4">
        <v>29411030</v>
      </c>
      <c r="L1052" s="3" t="s">
        <v>3131</v>
      </c>
      <c r="M1052" s="3" t="s">
        <v>2856</v>
      </c>
      <c r="N1052" s="5">
        <f t="shared" si="16"/>
        <v>18</v>
      </c>
    </row>
    <row r="1053" spans="1:14" ht="14.4" x14ac:dyDescent="0.3">
      <c r="A1053" s="3" t="s">
        <v>3132</v>
      </c>
      <c r="B1053" s="3" t="s">
        <v>3133</v>
      </c>
      <c r="C1053" s="3" t="s">
        <v>56</v>
      </c>
      <c r="D1053" s="3" t="s">
        <v>536</v>
      </c>
      <c r="E1053" s="3" t="s">
        <v>80</v>
      </c>
      <c r="F1053" s="3" t="s">
        <v>3134</v>
      </c>
      <c r="G1053" s="3" t="s">
        <v>4071</v>
      </c>
      <c r="H1053" s="7">
        <v>44698</v>
      </c>
      <c r="I1053" s="6">
        <v>106000</v>
      </c>
      <c r="J1053" s="6">
        <v>19080</v>
      </c>
      <c r="K1053" s="4">
        <v>96020030</v>
      </c>
      <c r="L1053" s="3" t="s">
        <v>3135</v>
      </c>
      <c r="M1053" s="3" t="s">
        <v>3136</v>
      </c>
      <c r="N1053" s="5">
        <f t="shared" si="16"/>
        <v>18</v>
      </c>
    </row>
    <row r="1054" spans="1:14" ht="14.4" x14ac:dyDescent="0.3">
      <c r="A1054" s="3" t="s">
        <v>3137</v>
      </c>
      <c r="B1054" s="3" t="s">
        <v>534</v>
      </c>
      <c r="C1054" s="3" t="s">
        <v>535</v>
      </c>
      <c r="D1054" s="3" t="s">
        <v>536</v>
      </c>
      <c r="E1054" s="3" t="s">
        <v>378</v>
      </c>
      <c r="F1054" s="3" t="s">
        <v>3138</v>
      </c>
      <c r="G1054" s="3" t="s">
        <v>4072</v>
      </c>
      <c r="H1054" s="7">
        <v>44698</v>
      </c>
      <c r="I1054" s="6">
        <v>208000</v>
      </c>
      <c r="J1054" s="6">
        <v>37440</v>
      </c>
      <c r="K1054" s="4">
        <v>96020030</v>
      </c>
      <c r="L1054" s="3" t="s">
        <v>3139</v>
      </c>
      <c r="M1054" s="3" t="s">
        <v>3136</v>
      </c>
      <c r="N1054" s="5">
        <f t="shared" si="16"/>
        <v>18</v>
      </c>
    </row>
    <row r="1055" spans="1:14" ht="14.4" x14ac:dyDescent="0.3">
      <c r="A1055" s="3" t="s">
        <v>3140</v>
      </c>
      <c r="B1055" s="3" t="s">
        <v>1273</v>
      </c>
      <c r="C1055" s="3" t="s">
        <v>20</v>
      </c>
      <c r="D1055" s="3" t="s">
        <v>156</v>
      </c>
      <c r="E1055" s="3" t="s">
        <v>22</v>
      </c>
      <c r="F1055" s="3" t="s">
        <v>3141</v>
      </c>
      <c r="G1055" s="3" t="s">
        <v>4073</v>
      </c>
      <c r="H1055" s="7">
        <v>44698</v>
      </c>
      <c r="I1055" s="6">
        <v>49466.5</v>
      </c>
      <c r="J1055" s="6">
        <v>8903.9599999999991</v>
      </c>
      <c r="K1055" s="4">
        <v>4819</v>
      </c>
      <c r="L1055" s="3"/>
      <c r="M1055" s="3" t="s">
        <v>1576</v>
      </c>
      <c r="N1055" s="5">
        <f t="shared" si="16"/>
        <v>17.999979784298461</v>
      </c>
    </row>
    <row r="1056" spans="1:14" ht="14.4" x14ac:dyDescent="0.3">
      <c r="A1056" s="3" t="s">
        <v>3142</v>
      </c>
      <c r="B1056" s="3" t="s">
        <v>208</v>
      </c>
      <c r="C1056" s="3" t="s">
        <v>209</v>
      </c>
      <c r="D1056" s="3" t="s">
        <v>57</v>
      </c>
      <c r="E1056" s="3" t="s">
        <v>22</v>
      </c>
      <c r="F1056" s="3" t="s">
        <v>3143</v>
      </c>
      <c r="G1056" s="3" t="s">
        <v>4074</v>
      </c>
      <c r="H1056" s="7">
        <v>44694</v>
      </c>
      <c r="I1056" s="6">
        <v>252500</v>
      </c>
      <c r="J1056" s="6">
        <v>45450</v>
      </c>
      <c r="K1056" s="4">
        <v>29420090</v>
      </c>
      <c r="L1056" s="3" t="s">
        <v>30</v>
      </c>
      <c r="M1056" s="3" t="s">
        <v>104</v>
      </c>
      <c r="N1056" s="5">
        <f t="shared" si="16"/>
        <v>18</v>
      </c>
    </row>
    <row r="1057" spans="1:14" ht="14.4" x14ac:dyDescent="0.3">
      <c r="A1057" s="3" t="s">
        <v>3144</v>
      </c>
      <c r="B1057" s="3" t="s">
        <v>462</v>
      </c>
      <c r="C1057" s="3" t="s">
        <v>20</v>
      </c>
      <c r="D1057" s="3" t="s">
        <v>50</v>
      </c>
      <c r="E1057" s="3" t="s">
        <v>22</v>
      </c>
      <c r="F1057" s="3" t="s">
        <v>3145</v>
      </c>
      <c r="G1057" s="3" t="s">
        <v>4075</v>
      </c>
      <c r="H1057" s="7">
        <v>44693</v>
      </c>
      <c r="I1057" s="6">
        <v>71760.55</v>
      </c>
      <c r="J1057" s="6">
        <v>12916.9</v>
      </c>
      <c r="K1057" s="4">
        <v>7607</v>
      </c>
      <c r="L1057" s="3" t="s">
        <v>464</v>
      </c>
      <c r="M1057" s="3" t="s">
        <v>32</v>
      </c>
      <c r="N1057" s="5">
        <f t="shared" si="16"/>
        <v>18.00000139352332</v>
      </c>
    </row>
    <row r="1058" spans="1:14" ht="14.4" x14ac:dyDescent="0.3">
      <c r="A1058" s="3" t="s">
        <v>3146</v>
      </c>
      <c r="B1058" s="3" t="s">
        <v>394</v>
      </c>
      <c r="C1058" s="3" t="s">
        <v>26</v>
      </c>
      <c r="D1058" s="3" t="s">
        <v>395</v>
      </c>
      <c r="E1058" s="3" t="s">
        <v>396</v>
      </c>
      <c r="F1058" s="3" t="s">
        <v>3147</v>
      </c>
      <c r="G1058" s="3" t="s">
        <v>4076</v>
      </c>
      <c r="H1058" s="7">
        <v>44692</v>
      </c>
      <c r="I1058" s="6">
        <v>62000.59</v>
      </c>
      <c r="J1058" s="6">
        <v>11160.1</v>
      </c>
      <c r="K1058" s="4">
        <v>48192090</v>
      </c>
      <c r="L1058" s="3" t="s">
        <v>97</v>
      </c>
      <c r="M1058" s="3" t="s">
        <v>36</v>
      </c>
      <c r="N1058" s="5">
        <f t="shared" si="16"/>
        <v>17.99999000009516</v>
      </c>
    </row>
    <row r="1059" spans="1:14" ht="14.4" x14ac:dyDescent="0.3">
      <c r="A1059" s="3" t="s">
        <v>3148</v>
      </c>
      <c r="B1059" s="3" t="s">
        <v>202</v>
      </c>
      <c r="C1059" s="3" t="s">
        <v>134</v>
      </c>
      <c r="D1059" s="3" t="s">
        <v>203</v>
      </c>
      <c r="E1059" s="3" t="s">
        <v>204</v>
      </c>
      <c r="F1059" s="3" t="s">
        <v>3149</v>
      </c>
      <c r="G1059" s="3" t="s">
        <v>4077</v>
      </c>
      <c r="H1059" s="7">
        <v>44692</v>
      </c>
      <c r="I1059" s="6">
        <v>856813.7</v>
      </c>
      <c r="J1059" s="6">
        <v>154226.47</v>
      </c>
      <c r="K1059" s="4">
        <v>76071994</v>
      </c>
      <c r="L1059" s="3" t="s">
        <v>206</v>
      </c>
      <c r="M1059" s="3"/>
      <c r="N1059" s="5">
        <f t="shared" si="16"/>
        <v>18.000000466845943</v>
      </c>
    </row>
    <row r="1060" spans="1:14" ht="14.4" x14ac:dyDescent="0.3">
      <c r="A1060" s="3" t="s">
        <v>3150</v>
      </c>
      <c r="B1060" s="3" t="s">
        <v>423</v>
      </c>
      <c r="C1060" s="3" t="s">
        <v>20</v>
      </c>
      <c r="D1060" s="3" t="s">
        <v>50</v>
      </c>
      <c r="E1060" s="3" t="s">
        <v>22</v>
      </c>
      <c r="F1060" s="3" t="s">
        <v>3151</v>
      </c>
      <c r="G1060" s="3">
        <v>153</v>
      </c>
      <c r="H1060" s="7">
        <v>44688</v>
      </c>
      <c r="I1060" s="6">
        <v>54739</v>
      </c>
      <c r="J1060" s="6">
        <v>9853.02</v>
      </c>
      <c r="K1060" s="4">
        <v>39204900</v>
      </c>
      <c r="L1060" s="3" t="s">
        <v>425</v>
      </c>
      <c r="M1060" s="3" t="s">
        <v>36</v>
      </c>
      <c r="N1060" s="5">
        <f t="shared" si="16"/>
        <v>18</v>
      </c>
    </row>
    <row r="1061" spans="1:14" ht="14.4" x14ac:dyDescent="0.3">
      <c r="A1061" s="3" t="s">
        <v>3152</v>
      </c>
      <c r="B1061" s="3" t="s">
        <v>394</v>
      </c>
      <c r="C1061" s="3" t="s">
        <v>26</v>
      </c>
      <c r="D1061" s="3" t="s">
        <v>395</v>
      </c>
      <c r="E1061" s="3" t="s">
        <v>396</v>
      </c>
      <c r="F1061" s="3" t="s">
        <v>3153</v>
      </c>
      <c r="G1061" s="3" t="s">
        <v>4078</v>
      </c>
      <c r="H1061" s="7">
        <v>44688</v>
      </c>
      <c r="I1061" s="6">
        <v>43388</v>
      </c>
      <c r="J1061" s="6">
        <v>7809.84</v>
      </c>
      <c r="K1061" s="4">
        <v>48192090</v>
      </c>
      <c r="L1061" s="3" t="s">
        <v>97</v>
      </c>
      <c r="M1061" s="3" t="s">
        <v>36</v>
      </c>
      <c r="N1061" s="5">
        <f t="shared" si="16"/>
        <v>18</v>
      </c>
    </row>
    <row r="1062" spans="1:14" ht="14.4" x14ac:dyDescent="0.3">
      <c r="A1062" s="3" t="s">
        <v>3154</v>
      </c>
      <c r="B1062" s="3" t="s">
        <v>124</v>
      </c>
      <c r="C1062" s="3" t="s">
        <v>20</v>
      </c>
      <c r="D1062" s="3" t="s">
        <v>125</v>
      </c>
      <c r="E1062" s="3" t="s">
        <v>22</v>
      </c>
      <c r="F1062" s="3" t="s">
        <v>3155</v>
      </c>
      <c r="G1062" s="3" t="s">
        <v>4079</v>
      </c>
      <c r="H1062" s="7">
        <v>44687</v>
      </c>
      <c r="I1062" s="6">
        <v>53305</v>
      </c>
      <c r="J1062" s="6">
        <v>9594.9</v>
      </c>
      <c r="K1062" s="4">
        <v>48192020</v>
      </c>
      <c r="L1062" s="3"/>
      <c r="M1062" s="3" t="s">
        <v>98</v>
      </c>
      <c r="N1062" s="5">
        <f t="shared" si="16"/>
        <v>18</v>
      </c>
    </row>
    <row r="1063" spans="1:14" ht="14.4" x14ac:dyDescent="0.3">
      <c r="A1063" s="3" t="s">
        <v>3156</v>
      </c>
      <c r="B1063" s="3" t="s">
        <v>178</v>
      </c>
      <c r="C1063" s="3" t="s">
        <v>20</v>
      </c>
      <c r="D1063" s="3" t="s">
        <v>50</v>
      </c>
      <c r="E1063" s="3" t="s">
        <v>22</v>
      </c>
      <c r="F1063" s="3" t="s">
        <v>3157</v>
      </c>
      <c r="G1063" s="3" t="s">
        <v>4080</v>
      </c>
      <c r="H1063" s="7">
        <v>44686</v>
      </c>
      <c r="I1063" s="6">
        <v>52725.599999999999</v>
      </c>
      <c r="J1063" s="6">
        <v>9490.6</v>
      </c>
      <c r="K1063" s="4">
        <v>76071995</v>
      </c>
      <c r="L1063" s="3" t="s">
        <v>180</v>
      </c>
      <c r="M1063" s="3" t="s">
        <v>36</v>
      </c>
      <c r="N1063" s="5">
        <f t="shared" si="16"/>
        <v>17.999984827104861</v>
      </c>
    </row>
    <row r="1064" spans="1:14" ht="14.4" x14ac:dyDescent="0.3">
      <c r="A1064" s="3" t="s">
        <v>3158</v>
      </c>
      <c r="B1064" s="3" t="s">
        <v>394</v>
      </c>
      <c r="C1064" s="3" t="s">
        <v>26</v>
      </c>
      <c r="D1064" s="3" t="s">
        <v>395</v>
      </c>
      <c r="E1064" s="3" t="s">
        <v>396</v>
      </c>
      <c r="F1064" s="3" t="s">
        <v>3159</v>
      </c>
      <c r="G1064" s="3" t="s">
        <v>4081</v>
      </c>
      <c r="H1064" s="7">
        <v>44686</v>
      </c>
      <c r="I1064" s="6">
        <v>50962.8</v>
      </c>
      <c r="J1064" s="6">
        <v>9173.2999999999993</v>
      </c>
      <c r="K1064" s="4">
        <v>48192090</v>
      </c>
      <c r="L1064" s="3" t="s">
        <v>97</v>
      </c>
      <c r="M1064" s="3" t="s">
        <v>36</v>
      </c>
      <c r="N1064" s="5">
        <f t="shared" si="16"/>
        <v>17.99999215113769</v>
      </c>
    </row>
    <row r="1065" spans="1:14" ht="14.4" x14ac:dyDescent="0.3">
      <c r="A1065" s="3" t="s">
        <v>3160</v>
      </c>
      <c r="B1065" s="3" t="s">
        <v>182</v>
      </c>
      <c r="C1065" s="3" t="s">
        <v>20</v>
      </c>
      <c r="D1065" s="3" t="s">
        <v>167</v>
      </c>
      <c r="E1065" s="3" t="s">
        <v>22</v>
      </c>
      <c r="F1065" s="3" t="s">
        <v>3161</v>
      </c>
      <c r="G1065" s="3" t="s">
        <v>4082</v>
      </c>
      <c r="H1065" s="7">
        <v>44686</v>
      </c>
      <c r="I1065" s="6">
        <v>111800</v>
      </c>
      <c r="J1065" s="6">
        <v>20124</v>
      </c>
      <c r="K1065" s="4">
        <v>29053200</v>
      </c>
      <c r="L1065" s="3" t="s">
        <v>2274</v>
      </c>
      <c r="M1065" s="3" t="s">
        <v>3162</v>
      </c>
      <c r="N1065" s="5">
        <f t="shared" si="16"/>
        <v>18</v>
      </c>
    </row>
    <row r="1066" spans="1:14" ht="14.4" x14ac:dyDescent="0.3">
      <c r="A1066" s="3" t="s">
        <v>3163</v>
      </c>
      <c r="B1066" s="3" t="s">
        <v>84</v>
      </c>
      <c r="C1066" s="3" t="s">
        <v>20</v>
      </c>
      <c r="D1066" s="3" t="s">
        <v>239</v>
      </c>
      <c r="E1066" s="3" t="s">
        <v>22</v>
      </c>
      <c r="F1066" s="3" t="s">
        <v>3164</v>
      </c>
      <c r="G1066" s="3" t="s">
        <v>4083</v>
      </c>
      <c r="H1066" s="7">
        <v>44685</v>
      </c>
      <c r="I1066" s="6">
        <v>111175.2</v>
      </c>
      <c r="J1066" s="6">
        <v>20011.54</v>
      </c>
      <c r="K1066" s="4">
        <v>3921</v>
      </c>
      <c r="L1066" s="3" t="s">
        <v>118</v>
      </c>
      <c r="M1066" s="3" t="s">
        <v>436</v>
      </c>
      <c r="N1066" s="5">
        <f t="shared" si="16"/>
        <v>18.000003597924717</v>
      </c>
    </row>
    <row r="1067" spans="1:14" ht="14.4" x14ac:dyDescent="0.3">
      <c r="A1067" s="3" t="s">
        <v>3165</v>
      </c>
      <c r="B1067" s="3" t="s">
        <v>55</v>
      </c>
      <c r="C1067" s="3" t="s">
        <v>56</v>
      </c>
      <c r="D1067" s="3" t="s">
        <v>57</v>
      </c>
      <c r="E1067" s="3" t="s">
        <v>22</v>
      </c>
      <c r="F1067" s="3" t="s">
        <v>3166</v>
      </c>
      <c r="G1067" s="3" t="s">
        <v>4084</v>
      </c>
      <c r="H1067" s="7">
        <v>44686</v>
      </c>
      <c r="I1067" s="6">
        <v>109000</v>
      </c>
      <c r="J1067" s="6">
        <v>19620</v>
      </c>
      <c r="K1067" s="4">
        <v>96020030</v>
      </c>
      <c r="L1067" s="3"/>
      <c r="M1067" s="3" t="s">
        <v>3167</v>
      </c>
      <c r="N1067" s="5">
        <f t="shared" si="16"/>
        <v>18</v>
      </c>
    </row>
    <row r="1068" spans="1:14" ht="14.4" x14ac:dyDescent="0.3">
      <c r="A1068" s="3" t="s">
        <v>3168</v>
      </c>
      <c r="B1068" s="3" t="s">
        <v>25</v>
      </c>
      <c r="C1068" s="3" t="s">
        <v>26</v>
      </c>
      <c r="D1068" s="3" t="s">
        <v>27</v>
      </c>
      <c r="E1068" s="3" t="s">
        <v>28</v>
      </c>
      <c r="F1068" s="3" t="s">
        <v>3169</v>
      </c>
      <c r="G1068" s="3" t="s">
        <v>4085</v>
      </c>
      <c r="H1068" s="7">
        <v>44685</v>
      </c>
      <c r="I1068" s="6">
        <v>371658.74</v>
      </c>
      <c r="J1068" s="6">
        <v>66898</v>
      </c>
      <c r="K1068" s="4">
        <v>29420090</v>
      </c>
      <c r="L1068" s="3" t="s">
        <v>31</v>
      </c>
      <c r="M1068" s="3" t="s">
        <v>36</v>
      </c>
      <c r="N1068" s="5">
        <f t="shared" si="16"/>
        <v>17.99984577249549</v>
      </c>
    </row>
    <row r="1069" spans="1:14" ht="14.4" x14ac:dyDescent="0.3">
      <c r="A1069" s="3" t="s">
        <v>3170</v>
      </c>
      <c r="B1069" s="3" t="s">
        <v>89</v>
      </c>
      <c r="C1069" s="3" t="s">
        <v>20</v>
      </c>
      <c r="D1069" s="3" t="s">
        <v>50</v>
      </c>
      <c r="E1069" s="3" t="s">
        <v>22</v>
      </c>
      <c r="F1069" s="3" t="s">
        <v>3171</v>
      </c>
      <c r="G1069" s="3">
        <v>125</v>
      </c>
      <c r="H1069" s="7">
        <v>44685</v>
      </c>
      <c r="I1069" s="6">
        <v>6600</v>
      </c>
      <c r="J1069" s="6">
        <v>1188</v>
      </c>
      <c r="K1069" s="4">
        <v>84425010</v>
      </c>
      <c r="L1069" s="3" t="s">
        <v>3172</v>
      </c>
      <c r="M1069" s="3" t="s">
        <v>36</v>
      </c>
      <c r="N1069" s="5">
        <f t="shared" si="16"/>
        <v>18</v>
      </c>
    </row>
    <row r="1070" spans="1:14" ht="14.4" x14ac:dyDescent="0.3">
      <c r="A1070" s="3" t="s">
        <v>3173</v>
      </c>
      <c r="B1070" s="3" t="s">
        <v>89</v>
      </c>
      <c r="C1070" s="3" t="s">
        <v>20</v>
      </c>
      <c r="D1070" s="3" t="s">
        <v>50</v>
      </c>
      <c r="E1070" s="3" t="s">
        <v>22</v>
      </c>
      <c r="F1070" s="3" t="s">
        <v>3174</v>
      </c>
      <c r="G1070" s="3">
        <v>124</v>
      </c>
      <c r="H1070" s="7">
        <v>44685</v>
      </c>
      <c r="I1070" s="6">
        <v>52470</v>
      </c>
      <c r="J1070" s="6">
        <v>9444.6</v>
      </c>
      <c r="K1070" s="4">
        <v>76071994</v>
      </c>
      <c r="L1070" s="3" t="s">
        <v>421</v>
      </c>
      <c r="M1070" s="3" t="s">
        <v>36</v>
      </c>
      <c r="N1070" s="5">
        <f t="shared" si="16"/>
        <v>18</v>
      </c>
    </row>
    <row r="1071" spans="1:14" ht="14.4" x14ac:dyDescent="0.3">
      <c r="A1071" s="3" t="s">
        <v>3175</v>
      </c>
      <c r="B1071" s="3" t="s">
        <v>124</v>
      </c>
      <c r="C1071" s="3" t="s">
        <v>20</v>
      </c>
      <c r="D1071" s="3" t="s">
        <v>125</v>
      </c>
      <c r="E1071" s="3" t="s">
        <v>22</v>
      </c>
      <c r="F1071" s="3" t="s">
        <v>3176</v>
      </c>
      <c r="G1071" s="3" t="s">
        <v>4086</v>
      </c>
      <c r="H1071" s="7">
        <v>44684</v>
      </c>
      <c r="I1071" s="6">
        <v>89442</v>
      </c>
      <c r="J1071" s="6">
        <v>16099.56</v>
      </c>
      <c r="K1071" s="4">
        <v>48192020</v>
      </c>
      <c r="L1071" s="3"/>
      <c r="M1071" s="3" t="s">
        <v>2550</v>
      </c>
      <c r="N1071" s="5">
        <f t="shared" si="16"/>
        <v>18</v>
      </c>
    </row>
    <row r="1072" spans="1:14" ht="14.4" x14ac:dyDescent="0.3">
      <c r="A1072" s="3" t="s">
        <v>3177</v>
      </c>
      <c r="B1072" s="3" t="s">
        <v>394</v>
      </c>
      <c r="C1072" s="3" t="s">
        <v>26</v>
      </c>
      <c r="D1072" s="3" t="s">
        <v>395</v>
      </c>
      <c r="E1072" s="3" t="s">
        <v>396</v>
      </c>
      <c r="F1072" s="3" t="s">
        <v>3178</v>
      </c>
      <c r="G1072" s="3" t="s">
        <v>4087</v>
      </c>
      <c r="H1072" s="7">
        <v>44683</v>
      </c>
      <c r="I1072" s="6">
        <v>63066.25</v>
      </c>
      <c r="J1072" s="6">
        <v>11351.94</v>
      </c>
      <c r="K1072" s="4">
        <v>48192090</v>
      </c>
      <c r="L1072" s="3" t="s">
        <v>97</v>
      </c>
      <c r="M1072" s="3" t="s">
        <v>98</v>
      </c>
      <c r="N1072" s="5">
        <f t="shared" si="16"/>
        <v>18.000023784512319</v>
      </c>
    </row>
    <row r="1073" spans="1:14" ht="14.4" x14ac:dyDescent="0.3">
      <c r="A1073" s="3" t="s">
        <v>3179</v>
      </c>
      <c r="B1073" s="3" t="s">
        <v>124</v>
      </c>
      <c r="C1073" s="3" t="s">
        <v>20</v>
      </c>
      <c r="D1073" s="3" t="s">
        <v>125</v>
      </c>
      <c r="E1073" s="3" t="s">
        <v>22</v>
      </c>
      <c r="F1073" s="3" t="s">
        <v>3180</v>
      </c>
      <c r="G1073" s="3" t="s">
        <v>4088</v>
      </c>
      <c r="H1073" s="7">
        <v>44683</v>
      </c>
      <c r="I1073" s="6">
        <v>71706</v>
      </c>
      <c r="J1073" s="6">
        <v>12907.08</v>
      </c>
      <c r="K1073" s="4">
        <v>48192020</v>
      </c>
      <c r="L1073" s="3"/>
      <c r="M1073" s="3" t="s">
        <v>98</v>
      </c>
      <c r="N1073" s="5">
        <f t="shared" si="16"/>
        <v>18</v>
      </c>
    </row>
    <row r="1074" spans="1:14" ht="14.4" x14ac:dyDescent="0.3">
      <c r="A1074" s="3" t="s">
        <v>3181</v>
      </c>
      <c r="B1074" s="3" t="s">
        <v>1516</v>
      </c>
      <c r="C1074" s="3" t="s">
        <v>26</v>
      </c>
      <c r="D1074" s="3" t="s">
        <v>1517</v>
      </c>
      <c r="E1074" s="3" t="s">
        <v>1518</v>
      </c>
      <c r="F1074" s="3" t="s">
        <v>3182</v>
      </c>
      <c r="G1074" s="3">
        <v>1210130</v>
      </c>
      <c r="H1074" s="7">
        <v>44681</v>
      </c>
      <c r="I1074" s="6">
        <v>685000</v>
      </c>
      <c r="J1074" s="6"/>
      <c r="K1074" s="4">
        <v>29419090</v>
      </c>
      <c r="L1074" s="3" t="s">
        <v>1614</v>
      </c>
      <c r="M1074" s="3" t="s">
        <v>1615</v>
      </c>
      <c r="N1074" s="5">
        <f t="shared" si="16"/>
        <v>0</v>
      </c>
    </row>
    <row r="1075" spans="1:14" ht="14.4" x14ac:dyDescent="0.3">
      <c r="A1075" s="3" t="s">
        <v>3183</v>
      </c>
      <c r="B1075" s="3" t="s">
        <v>394</v>
      </c>
      <c r="C1075" s="3" t="s">
        <v>26</v>
      </c>
      <c r="D1075" s="3" t="s">
        <v>395</v>
      </c>
      <c r="E1075" s="3" t="s">
        <v>396</v>
      </c>
      <c r="F1075" s="3" t="s">
        <v>3184</v>
      </c>
      <c r="G1075" s="3" t="s">
        <v>4089</v>
      </c>
      <c r="H1075" s="7">
        <v>44702</v>
      </c>
      <c r="I1075" s="6">
        <v>38117.199999999997</v>
      </c>
      <c r="J1075" s="6">
        <v>6861.1</v>
      </c>
      <c r="K1075" s="4">
        <v>48192090</v>
      </c>
      <c r="L1075" s="3" t="s">
        <v>97</v>
      </c>
      <c r="M1075" s="3" t="s">
        <v>467</v>
      </c>
      <c r="N1075" s="5">
        <f t="shared" si="16"/>
        <v>18.000010493950239</v>
      </c>
    </row>
    <row r="1076" spans="1:14" ht="14.4" x14ac:dyDescent="0.3">
      <c r="A1076" s="3" t="s">
        <v>3185</v>
      </c>
      <c r="B1076" s="3" t="s">
        <v>178</v>
      </c>
      <c r="C1076" s="3" t="s">
        <v>20</v>
      </c>
      <c r="D1076" s="3" t="s">
        <v>50</v>
      </c>
      <c r="E1076" s="3" t="s">
        <v>22</v>
      </c>
      <c r="F1076" s="3" t="s">
        <v>3186</v>
      </c>
      <c r="G1076" s="3" t="s">
        <v>4090</v>
      </c>
      <c r="H1076" s="7">
        <v>44707</v>
      </c>
      <c r="I1076" s="6">
        <v>82068.600000000006</v>
      </c>
      <c r="J1076" s="6">
        <v>14772.34</v>
      </c>
      <c r="K1076" s="4">
        <v>76071995</v>
      </c>
      <c r="L1076" s="3" t="s">
        <v>180</v>
      </c>
      <c r="M1076" s="3" t="s">
        <v>195</v>
      </c>
      <c r="N1076" s="5">
        <f t="shared" si="16"/>
        <v>17.999990252057422</v>
      </c>
    </row>
    <row r="1077" spans="1:14" ht="14.4" x14ac:dyDescent="0.3">
      <c r="A1077" s="3" t="s">
        <v>3187</v>
      </c>
      <c r="B1077" s="3" t="s">
        <v>394</v>
      </c>
      <c r="C1077" s="3" t="s">
        <v>26</v>
      </c>
      <c r="D1077" s="3" t="s">
        <v>395</v>
      </c>
      <c r="E1077" s="3" t="s">
        <v>396</v>
      </c>
      <c r="F1077" s="3" t="s">
        <v>3188</v>
      </c>
      <c r="G1077" s="3" t="s">
        <v>4091</v>
      </c>
      <c r="H1077" s="7">
        <v>44705</v>
      </c>
      <c r="I1077" s="6">
        <v>74912.600000000006</v>
      </c>
      <c r="J1077" s="6">
        <v>13484.28</v>
      </c>
      <c r="K1077" s="4">
        <v>48192090</v>
      </c>
      <c r="L1077" s="3" t="s">
        <v>97</v>
      </c>
      <c r="M1077" s="3" t="s">
        <v>36</v>
      </c>
      <c r="N1077" s="5">
        <f t="shared" si="16"/>
        <v>18.000016018667086</v>
      </c>
    </row>
    <row r="1078" spans="1:14" ht="14.4" x14ac:dyDescent="0.3">
      <c r="A1078" s="3" t="s">
        <v>3189</v>
      </c>
      <c r="B1078" s="3" t="s">
        <v>1516</v>
      </c>
      <c r="C1078" s="3" t="s">
        <v>26</v>
      </c>
      <c r="D1078" s="3" t="s">
        <v>1517</v>
      </c>
      <c r="E1078" s="3" t="s">
        <v>1518</v>
      </c>
      <c r="F1078" s="3" t="s">
        <v>3190</v>
      </c>
      <c r="G1078" s="3">
        <v>2210221</v>
      </c>
      <c r="H1078" s="7">
        <v>44699</v>
      </c>
      <c r="I1078" s="6">
        <v>635000</v>
      </c>
      <c r="J1078" s="6"/>
      <c r="K1078" s="4">
        <v>29419090</v>
      </c>
      <c r="L1078" s="3" t="s">
        <v>1906</v>
      </c>
      <c r="M1078" s="3" t="s">
        <v>3191</v>
      </c>
      <c r="N1078" s="5">
        <f t="shared" si="16"/>
        <v>0</v>
      </c>
    </row>
    <row r="1079" spans="1:14" ht="14.4" x14ac:dyDescent="0.3">
      <c r="A1079" s="3" t="s">
        <v>3192</v>
      </c>
      <c r="B1079" s="3" t="s">
        <v>161</v>
      </c>
      <c r="C1079" s="3" t="s">
        <v>56</v>
      </c>
      <c r="D1079" s="3" t="s">
        <v>57</v>
      </c>
      <c r="E1079" s="3" t="s">
        <v>162</v>
      </c>
      <c r="F1079" s="3" t="s">
        <v>3193</v>
      </c>
      <c r="G1079" s="3" t="s">
        <v>4092</v>
      </c>
      <c r="H1079" s="7">
        <v>44697</v>
      </c>
      <c r="I1079" s="6">
        <v>435217.5</v>
      </c>
      <c r="J1079" s="6">
        <v>78339.16</v>
      </c>
      <c r="K1079" s="4">
        <v>29411030</v>
      </c>
      <c r="L1079" s="3" t="s">
        <v>3131</v>
      </c>
      <c r="M1079" s="3" t="s">
        <v>2856</v>
      </c>
      <c r="N1079" s="5">
        <f t="shared" si="16"/>
        <v>18.000002297701723</v>
      </c>
    </row>
    <row r="1080" spans="1:14" ht="14.4" x14ac:dyDescent="0.3">
      <c r="A1080" s="3" t="s">
        <v>3194</v>
      </c>
      <c r="B1080" s="3" t="s">
        <v>161</v>
      </c>
      <c r="C1080" s="3" t="s">
        <v>56</v>
      </c>
      <c r="D1080" s="3" t="s">
        <v>57</v>
      </c>
      <c r="E1080" s="3" t="s">
        <v>162</v>
      </c>
      <c r="F1080" s="3" t="s">
        <v>3195</v>
      </c>
      <c r="G1080" s="3" t="s">
        <v>4093</v>
      </c>
      <c r="H1080" s="7">
        <v>44690</v>
      </c>
      <c r="I1080" s="6">
        <v>590295</v>
      </c>
      <c r="J1080" s="6">
        <v>106253.1</v>
      </c>
      <c r="K1080" s="4">
        <v>29222933</v>
      </c>
      <c r="L1080" s="3" t="s">
        <v>164</v>
      </c>
      <c r="M1080" s="3" t="s">
        <v>495</v>
      </c>
      <c r="N1080" s="5">
        <f t="shared" si="16"/>
        <v>18</v>
      </c>
    </row>
    <row r="1081" spans="1:14" ht="14.4" x14ac:dyDescent="0.3">
      <c r="A1081" s="3" t="s">
        <v>3196</v>
      </c>
      <c r="B1081" s="3" t="s">
        <v>1161</v>
      </c>
      <c r="C1081" s="3" t="s">
        <v>20</v>
      </c>
      <c r="D1081" s="3" t="s">
        <v>1162</v>
      </c>
      <c r="E1081" s="3" t="s">
        <v>22</v>
      </c>
      <c r="F1081" s="3" t="s">
        <v>3197</v>
      </c>
      <c r="G1081" s="3" t="s">
        <v>4094</v>
      </c>
      <c r="H1081" s="7">
        <v>44687</v>
      </c>
      <c r="I1081" s="6">
        <v>54500</v>
      </c>
      <c r="J1081" s="6">
        <v>2725</v>
      </c>
      <c r="K1081" s="4">
        <v>29419090</v>
      </c>
      <c r="L1081" s="3" t="s">
        <v>365</v>
      </c>
      <c r="M1081" s="3" t="s">
        <v>516</v>
      </c>
      <c r="N1081" s="5">
        <f t="shared" si="16"/>
        <v>5</v>
      </c>
    </row>
    <row r="1082" spans="1:14" ht="14.4" x14ac:dyDescent="0.3">
      <c r="A1082" s="3" t="s">
        <v>3198</v>
      </c>
      <c r="B1082" s="3" t="s">
        <v>3199</v>
      </c>
      <c r="C1082" s="3" t="s">
        <v>20</v>
      </c>
      <c r="D1082" s="3" t="s">
        <v>292</v>
      </c>
      <c r="E1082" s="3" t="s">
        <v>22</v>
      </c>
      <c r="F1082" s="3" t="s">
        <v>3200</v>
      </c>
      <c r="G1082" s="3">
        <v>47</v>
      </c>
      <c r="H1082" s="7">
        <v>44709</v>
      </c>
      <c r="I1082" s="6">
        <v>310500</v>
      </c>
      <c r="J1082" s="6">
        <v>55890</v>
      </c>
      <c r="K1082" s="4">
        <v>29420090</v>
      </c>
      <c r="L1082" s="3" t="s">
        <v>3023</v>
      </c>
      <c r="M1082" s="3" t="s">
        <v>675</v>
      </c>
      <c r="N1082" s="5">
        <f t="shared" si="16"/>
        <v>18</v>
      </c>
    </row>
    <row r="1083" spans="1:14" ht="14.4" x14ac:dyDescent="0.3">
      <c r="A1083" s="3" t="s">
        <v>3201</v>
      </c>
      <c r="B1083" s="3" t="s">
        <v>1161</v>
      </c>
      <c r="C1083" s="3" t="s">
        <v>20</v>
      </c>
      <c r="D1083" s="3" t="s">
        <v>1162</v>
      </c>
      <c r="E1083" s="3" t="s">
        <v>22</v>
      </c>
      <c r="F1083" s="3" t="s">
        <v>3202</v>
      </c>
      <c r="G1083" s="3" t="s">
        <v>4095</v>
      </c>
      <c r="H1083" s="7">
        <v>44698</v>
      </c>
      <c r="I1083" s="6">
        <v>76000</v>
      </c>
      <c r="J1083" s="6">
        <v>13680</v>
      </c>
      <c r="K1083" s="4">
        <v>29333990</v>
      </c>
      <c r="L1083" s="3" t="s">
        <v>3203</v>
      </c>
      <c r="M1083" s="3" t="s">
        <v>98</v>
      </c>
      <c r="N1083" s="5">
        <f t="shared" si="16"/>
        <v>18</v>
      </c>
    </row>
    <row r="1084" spans="1:14" ht="14.4" x14ac:dyDescent="0.3">
      <c r="A1084" s="3" t="s">
        <v>3204</v>
      </c>
      <c r="B1084" s="3" t="s">
        <v>309</v>
      </c>
      <c r="C1084" s="3" t="s">
        <v>310</v>
      </c>
      <c r="D1084" s="3" t="s">
        <v>311</v>
      </c>
      <c r="E1084" s="3" t="s">
        <v>80</v>
      </c>
      <c r="F1084" s="3" t="s">
        <v>3205</v>
      </c>
      <c r="G1084" s="3" t="s">
        <v>4096</v>
      </c>
      <c r="H1084" s="7">
        <v>44699</v>
      </c>
      <c r="I1084" s="6">
        <v>210000</v>
      </c>
      <c r="J1084" s="6">
        <v>37800</v>
      </c>
      <c r="K1084" s="4">
        <v>29335990</v>
      </c>
      <c r="L1084" s="3" t="s">
        <v>313</v>
      </c>
      <c r="M1084" s="3" t="s">
        <v>3206</v>
      </c>
      <c r="N1084" s="5">
        <f t="shared" si="16"/>
        <v>18</v>
      </c>
    </row>
    <row r="1085" spans="1:14" ht="14.4" x14ac:dyDescent="0.3">
      <c r="A1085" s="3" t="s">
        <v>3207</v>
      </c>
      <c r="B1085" s="3" t="s">
        <v>1710</v>
      </c>
      <c r="C1085" s="3" t="s">
        <v>1711</v>
      </c>
      <c r="D1085" s="3" t="s">
        <v>292</v>
      </c>
      <c r="E1085" s="3" t="s">
        <v>1712</v>
      </c>
      <c r="F1085" s="3" t="s">
        <v>3208</v>
      </c>
      <c r="G1085" s="3" t="s">
        <v>4097</v>
      </c>
      <c r="H1085" s="7">
        <v>44699</v>
      </c>
      <c r="I1085" s="6">
        <v>1536000</v>
      </c>
      <c r="J1085" s="6">
        <v>276480</v>
      </c>
      <c r="K1085" s="4">
        <v>29419090</v>
      </c>
      <c r="L1085" s="3" t="s">
        <v>3209</v>
      </c>
      <c r="M1085" s="3" t="s">
        <v>3210</v>
      </c>
      <c r="N1085" s="5">
        <f t="shared" si="16"/>
        <v>18</v>
      </c>
    </row>
    <row r="1086" spans="1:14" ht="14.4" x14ac:dyDescent="0.3">
      <c r="A1086" s="3" t="s">
        <v>3211</v>
      </c>
      <c r="B1086" s="3" t="s">
        <v>315</v>
      </c>
      <c r="C1086" s="3" t="s">
        <v>134</v>
      </c>
      <c r="D1086" s="3" t="s">
        <v>292</v>
      </c>
      <c r="E1086" s="3" t="s">
        <v>298</v>
      </c>
      <c r="F1086" s="3" t="s">
        <v>3212</v>
      </c>
      <c r="G1086" s="3" t="s">
        <v>4098</v>
      </c>
      <c r="H1086" s="7">
        <v>44692</v>
      </c>
      <c r="I1086" s="6">
        <v>569000</v>
      </c>
      <c r="J1086" s="6">
        <v>102420</v>
      </c>
      <c r="K1086" s="4">
        <v>29420012</v>
      </c>
      <c r="L1086" s="3" t="s">
        <v>2065</v>
      </c>
      <c r="M1086" s="3" t="s">
        <v>3213</v>
      </c>
      <c r="N1086" s="5">
        <f t="shared" si="16"/>
        <v>18</v>
      </c>
    </row>
    <row r="1087" spans="1:14" ht="14.4" x14ac:dyDescent="0.3">
      <c r="A1087" s="3" t="s">
        <v>3214</v>
      </c>
      <c r="B1087" s="3" t="s">
        <v>315</v>
      </c>
      <c r="C1087" s="3" t="s">
        <v>134</v>
      </c>
      <c r="D1087" s="3" t="s">
        <v>292</v>
      </c>
      <c r="E1087" s="3" t="s">
        <v>298</v>
      </c>
      <c r="F1087" s="3" t="s">
        <v>3215</v>
      </c>
      <c r="G1087" s="3" t="s">
        <v>4099</v>
      </c>
      <c r="H1087" s="7">
        <v>44692</v>
      </c>
      <c r="I1087" s="6">
        <v>103000</v>
      </c>
      <c r="J1087" s="6">
        <v>18540</v>
      </c>
      <c r="K1087" s="4">
        <v>29332910</v>
      </c>
      <c r="L1087" s="3" t="s">
        <v>2510</v>
      </c>
      <c r="M1087" s="3" t="s">
        <v>3213</v>
      </c>
      <c r="N1087" s="5">
        <f t="shared" si="16"/>
        <v>18</v>
      </c>
    </row>
    <row r="1088" spans="1:14" ht="14.4" x14ac:dyDescent="0.3">
      <c r="A1088" s="3" t="s">
        <v>3216</v>
      </c>
      <c r="B1088" s="3" t="s">
        <v>315</v>
      </c>
      <c r="C1088" s="3" t="s">
        <v>134</v>
      </c>
      <c r="D1088" s="3" t="s">
        <v>292</v>
      </c>
      <c r="E1088" s="3" t="s">
        <v>298</v>
      </c>
      <c r="F1088" s="3" t="s">
        <v>3217</v>
      </c>
      <c r="G1088" s="3" t="s">
        <v>4100</v>
      </c>
      <c r="H1088" s="7">
        <v>44687</v>
      </c>
      <c r="I1088" s="6">
        <v>172500</v>
      </c>
      <c r="J1088" s="6">
        <v>31050</v>
      </c>
      <c r="K1088" s="4">
        <v>29420012</v>
      </c>
      <c r="L1088" s="3" t="s">
        <v>2065</v>
      </c>
      <c r="M1088" s="3" t="s">
        <v>319</v>
      </c>
      <c r="N1088" s="5">
        <f t="shared" si="16"/>
        <v>18</v>
      </c>
    </row>
    <row r="1089" spans="1:14" ht="14.4" x14ac:dyDescent="0.3">
      <c r="A1089" s="3" t="s">
        <v>3218</v>
      </c>
      <c r="B1089" s="3" t="s">
        <v>3219</v>
      </c>
      <c r="C1089" s="3" t="s">
        <v>20</v>
      </c>
      <c r="D1089" s="3" t="s">
        <v>292</v>
      </c>
      <c r="E1089" s="3" t="s">
        <v>2125</v>
      </c>
      <c r="F1089" s="3" t="s">
        <v>3220</v>
      </c>
      <c r="G1089" s="3" t="s">
        <v>4101</v>
      </c>
      <c r="H1089" s="7">
        <v>44691</v>
      </c>
      <c r="I1089" s="6">
        <v>30600</v>
      </c>
      <c r="J1089" s="6">
        <v>5508</v>
      </c>
      <c r="K1089" s="4">
        <v>29054400</v>
      </c>
      <c r="L1089" s="3"/>
      <c r="M1089" s="3" t="s">
        <v>1615</v>
      </c>
      <c r="N1089" s="5">
        <f t="shared" si="16"/>
        <v>18</v>
      </c>
    </row>
    <row r="1090" spans="1:14" ht="14.4" x14ac:dyDescent="0.3">
      <c r="A1090" s="3" t="s">
        <v>3221</v>
      </c>
      <c r="B1090" s="3" t="s">
        <v>1161</v>
      </c>
      <c r="C1090" s="3" t="s">
        <v>20</v>
      </c>
      <c r="D1090" s="3" t="s">
        <v>1162</v>
      </c>
      <c r="E1090" s="3" t="s">
        <v>1532</v>
      </c>
      <c r="F1090" s="3" t="s">
        <v>3222</v>
      </c>
      <c r="G1090" s="3" t="s">
        <v>4102</v>
      </c>
      <c r="H1090" s="7">
        <v>44686</v>
      </c>
      <c r="I1090" s="6">
        <v>172000</v>
      </c>
      <c r="J1090" s="6">
        <v>30960</v>
      </c>
      <c r="K1090" s="4">
        <v>29420090</v>
      </c>
      <c r="L1090" s="3" t="s">
        <v>365</v>
      </c>
      <c r="M1090" s="3" t="s">
        <v>516</v>
      </c>
      <c r="N1090" s="5">
        <f t="shared" si="16"/>
        <v>18</v>
      </c>
    </row>
    <row r="1091" spans="1:14" ht="14.4" x14ac:dyDescent="0.3">
      <c r="A1091" s="3" t="s">
        <v>3223</v>
      </c>
      <c r="B1091" s="3" t="s">
        <v>3224</v>
      </c>
      <c r="C1091" s="3" t="s">
        <v>134</v>
      </c>
      <c r="D1091" s="3" t="s">
        <v>372</v>
      </c>
      <c r="E1091" s="3" t="s">
        <v>80</v>
      </c>
      <c r="F1091" s="3" t="s">
        <v>3225</v>
      </c>
      <c r="G1091" s="3">
        <v>220390</v>
      </c>
      <c r="H1091" s="7">
        <v>44686</v>
      </c>
      <c r="I1091" s="6">
        <v>166904.24</v>
      </c>
      <c r="J1091" s="6">
        <v>30042.76</v>
      </c>
      <c r="K1091" s="4">
        <v>29333990</v>
      </c>
      <c r="L1091" s="3" t="s">
        <v>3226</v>
      </c>
      <c r="M1091" s="3" t="s">
        <v>516</v>
      </c>
      <c r="N1091" s="5">
        <f t="shared" ref="N1091:N1104" si="17">J1091*100/I1091</f>
        <v>17.999998082732951</v>
      </c>
    </row>
    <row r="1092" spans="1:14" ht="14.4" x14ac:dyDescent="0.3">
      <c r="A1092" s="3" t="s">
        <v>3227</v>
      </c>
      <c r="B1092" s="3" t="s">
        <v>315</v>
      </c>
      <c r="C1092" s="3" t="s">
        <v>134</v>
      </c>
      <c r="D1092" s="3" t="s">
        <v>292</v>
      </c>
      <c r="E1092" s="3" t="s">
        <v>298</v>
      </c>
      <c r="F1092" s="3" t="s">
        <v>3228</v>
      </c>
      <c r="G1092" s="3" t="s">
        <v>4103</v>
      </c>
      <c r="H1092" s="7">
        <v>44686</v>
      </c>
      <c r="I1092" s="6">
        <v>275500</v>
      </c>
      <c r="J1092" s="6">
        <v>49590</v>
      </c>
      <c r="K1092" s="4">
        <v>29335990</v>
      </c>
      <c r="L1092" s="3" t="s">
        <v>338</v>
      </c>
      <c r="M1092" s="3" t="s">
        <v>32</v>
      </c>
      <c r="N1092" s="5">
        <f t="shared" si="17"/>
        <v>18</v>
      </c>
    </row>
    <row r="1093" spans="1:14" ht="14.4" x14ac:dyDescent="0.3">
      <c r="A1093" s="3" t="s">
        <v>3229</v>
      </c>
      <c r="B1093" s="3" t="s">
        <v>1710</v>
      </c>
      <c r="C1093" s="3" t="s">
        <v>1711</v>
      </c>
      <c r="D1093" s="3" t="s">
        <v>292</v>
      </c>
      <c r="E1093" s="3" t="s">
        <v>1712</v>
      </c>
      <c r="F1093" s="3" t="s">
        <v>3230</v>
      </c>
      <c r="G1093" s="3" t="s">
        <v>4104</v>
      </c>
      <c r="H1093" s="7">
        <v>44685</v>
      </c>
      <c r="I1093" s="6">
        <v>1152000</v>
      </c>
      <c r="J1093" s="6">
        <v>207360</v>
      </c>
      <c r="K1093" s="4">
        <v>29419090</v>
      </c>
      <c r="L1093" s="3" t="s">
        <v>3209</v>
      </c>
      <c r="M1093" s="3" t="s">
        <v>597</v>
      </c>
      <c r="N1093" s="5">
        <f t="shared" si="17"/>
        <v>18</v>
      </c>
    </row>
    <row r="1094" spans="1:14" ht="14.4" x14ac:dyDescent="0.3">
      <c r="A1094" s="3" t="s">
        <v>3231</v>
      </c>
      <c r="B1094" s="3" t="s">
        <v>351</v>
      </c>
      <c r="C1094" s="3" t="s">
        <v>20</v>
      </c>
      <c r="D1094" s="3" t="s">
        <v>352</v>
      </c>
      <c r="E1094" s="3" t="s">
        <v>22</v>
      </c>
      <c r="F1094" s="3" t="s">
        <v>3232</v>
      </c>
      <c r="G1094" s="3">
        <v>110</v>
      </c>
      <c r="H1094" s="7">
        <v>44683</v>
      </c>
      <c r="I1094" s="6">
        <v>469465</v>
      </c>
      <c r="J1094" s="6">
        <v>84503.7</v>
      </c>
      <c r="K1094" s="4">
        <v>29419060</v>
      </c>
      <c r="L1094" s="3" t="s">
        <v>199</v>
      </c>
      <c r="M1094" s="3" t="s">
        <v>597</v>
      </c>
      <c r="N1094" s="5">
        <f t="shared" si="17"/>
        <v>18</v>
      </c>
    </row>
    <row r="1095" spans="1:14" ht="14.4" x14ac:dyDescent="0.3">
      <c r="A1095" s="3" t="s">
        <v>3233</v>
      </c>
      <c r="B1095" s="3" t="s">
        <v>3234</v>
      </c>
      <c r="C1095" s="3" t="s">
        <v>3235</v>
      </c>
      <c r="D1095" s="3" t="s">
        <v>311</v>
      </c>
      <c r="E1095" s="3" t="s">
        <v>22</v>
      </c>
      <c r="F1095" s="3" t="s">
        <v>3236</v>
      </c>
      <c r="G1095" s="3">
        <v>112</v>
      </c>
      <c r="H1095" s="7">
        <v>44684</v>
      </c>
      <c r="I1095" s="6">
        <v>312906</v>
      </c>
      <c r="J1095" s="6">
        <v>56323</v>
      </c>
      <c r="K1095" s="4">
        <v>29419090</v>
      </c>
      <c r="L1095" s="3" t="s">
        <v>1394</v>
      </c>
      <c r="M1095" s="3" t="s">
        <v>3237</v>
      </c>
      <c r="N1095" s="5">
        <f t="shared" si="17"/>
        <v>17.999974433216366</v>
      </c>
    </row>
    <row r="1096" spans="1:14" ht="14.4" x14ac:dyDescent="0.3">
      <c r="A1096" s="3" t="s">
        <v>3238</v>
      </c>
      <c r="B1096" s="3" t="s">
        <v>677</v>
      </c>
      <c r="C1096" s="3" t="s">
        <v>134</v>
      </c>
      <c r="D1096" s="3" t="s">
        <v>678</v>
      </c>
      <c r="E1096" s="3" t="s">
        <v>22</v>
      </c>
      <c r="F1096" s="3" t="s">
        <v>3239</v>
      </c>
      <c r="G1096" s="3" t="s">
        <v>4105</v>
      </c>
      <c r="H1096" s="7">
        <v>44683</v>
      </c>
      <c r="I1096" s="6">
        <v>129141.9</v>
      </c>
      <c r="J1096" s="6">
        <v>23245.54</v>
      </c>
      <c r="K1096" s="4">
        <v>29420090</v>
      </c>
      <c r="L1096" s="3" t="s">
        <v>3240</v>
      </c>
      <c r="M1096" s="3"/>
      <c r="N1096" s="5">
        <f t="shared" si="17"/>
        <v>17.999998451315957</v>
      </c>
    </row>
    <row r="1097" spans="1:14" ht="14.4" x14ac:dyDescent="0.3">
      <c r="A1097" s="3" t="s">
        <v>3241</v>
      </c>
      <c r="B1097" s="3" t="s">
        <v>3242</v>
      </c>
      <c r="C1097" s="3" t="s">
        <v>134</v>
      </c>
      <c r="D1097" s="3" t="s">
        <v>292</v>
      </c>
      <c r="E1097" s="3" t="s">
        <v>298</v>
      </c>
      <c r="F1097" s="3" t="s">
        <v>3243</v>
      </c>
      <c r="G1097" s="3" t="s">
        <v>4106</v>
      </c>
      <c r="H1097" s="7">
        <v>44702</v>
      </c>
      <c r="I1097" s="6">
        <v>110500</v>
      </c>
      <c r="J1097" s="6">
        <v>19890</v>
      </c>
      <c r="K1097" s="4">
        <v>29419090</v>
      </c>
      <c r="L1097" s="3" t="s">
        <v>3244</v>
      </c>
      <c r="M1097" s="3" t="s">
        <v>1590</v>
      </c>
      <c r="N1097" s="5">
        <f t="shared" si="17"/>
        <v>18</v>
      </c>
    </row>
    <row r="1098" spans="1:14" ht="14.4" x14ac:dyDescent="0.3">
      <c r="A1098" s="3" t="s">
        <v>3245</v>
      </c>
      <c r="B1098" s="3" t="s">
        <v>315</v>
      </c>
      <c r="C1098" s="3" t="s">
        <v>134</v>
      </c>
      <c r="D1098" s="3" t="s">
        <v>292</v>
      </c>
      <c r="E1098" s="3" t="s">
        <v>298</v>
      </c>
      <c r="F1098" s="3" t="s">
        <v>3246</v>
      </c>
      <c r="G1098" s="3" t="s">
        <v>4107</v>
      </c>
      <c r="H1098" s="7">
        <v>44701</v>
      </c>
      <c r="I1098" s="6">
        <v>216900</v>
      </c>
      <c r="J1098" s="6">
        <v>39042</v>
      </c>
      <c r="K1098" s="4">
        <v>29339900</v>
      </c>
      <c r="L1098" s="3" t="s">
        <v>3247</v>
      </c>
      <c r="M1098" s="3" t="s">
        <v>1187</v>
      </c>
      <c r="N1098" s="5">
        <f t="shared" si="17"/>
        <v>18</v>
      </c>
    </row>
    <row r="1099" spans="1:14" ht="14.4" x14ac:dyDescent="0.3">
      <c r="A1099" s="3" t="s">
        <v>3248</v>
      </c>
      <c r="B1099" s="3" t="s">
        <v>1710</v>
      </c>
      <c r="C1099" s="3" t="s">
        <v>1711</v>
      </c>
      <c r="D1099" s="3" t="s">
        <v>292</v>
      </c>
      <c r="E1099" s="3" t="s">
        <v>1712</v>
      </c>
      <c r="F1099" s="3" t="s">
        <v>3249</v>
      </c>
      <c r="G1099" s="3" t="s">
        <v>4108</v>
      </c>
      <c r="H1099" s="7">
        <v>44700</v>
      </c>
      <c r="I1099" s="6">
        <v>1035000</v>
      </c>
      <c r="J1099" s="6">
        <v>186300</v>
      </c>
      <c r="K1099" s="4">
        <v>29332920</v>
      </c>
      <c r="L1099" s="3" t="s">
        <v>3250</v>
      </c>
      <c r="M1099" s="3" t="s">
        <v>3206</v>
      </c>
      <c r="N1099" s="5">
        <f t="shared" si="17"/>
        <v>18</v>
      </c>
    </row>
    <row r="1100" spans="1:14" ht="14.4" x14ac:dyDescent="0.3">
      <c r="A1100" s="3" t="s">
        <v>3251</v>
      </c>
      <c r="B1100" s="3" t="s">
        <v>1161</v>
      </c>
      <c r="C1100" s="3" t="s">
        <v>20</v>
      </c>
      <c r="D1100" s="3" t="s">
        <v>1162</v>
      </c>
      <c r="E1100" s="3" t="s">
        <v>22</v>
      </c>
      <c r="F1100" s="3" t="s">
        <v>3252</v>
      </c>
      <c r="G1100" s="3" t="s">
        <v>4109</v>
      </c>
      <c r="H1100" s="7">
        <v>44686</v>
      </c>
      <c r="I1100" s="6">
        <v>38750</v>
      </c>
      <c r="J1100" s="6">
        <v>6975</v>
      </c>
      <c r="K1100" s="4">
        <v>29072200</v>
      </c>
      <c r="L1100" s="3" t="s">
        <v>1164</v>
      </c>
      <c r="M1100" s="3" t="s">
        <v>516</v>
      </c>
      <c r="N1100" s="5">
        <f t="shared" si="17"/>
        <v>18</v>
      </c>
    </row>
    <row r="1101" spans="1:14" ht="14.4" x14ac:dyDescent="0.3">
      <c r="A1101" s="3" t="s">
        <v>3253</v>
      </c>
      <c r="B1101" s="3" t="s">
        <v>659</v>
      </c>
      <c r="C1101" s="3" t="s">
        <v>660</v>
      </c>
      <c r="D1101" s="3" t="s">
        <v>372</v>
      </c>
      <c r="E1101" s="3" t="s">
        <v>80</v>
      </c>
      <c r="F1101" s="3" t="s">
        <v>3254</v>
      </c>
      <c r="G1101" s="3" t="s">
        <v>4110</v>
      </c>
      <c r="H1101" s="7">
        <v>44704</v>
      </c>
      <c r="I1101" s="6">
        <v>490000</v>
      </c>
      <c r="J1101" s="6">
        <v>88200</v>
      </c>
      <c r="K1101" s="4">
        <v>29242190</v>
      </c>
      <c r="L1101" s="3" t="s">
        <v>2073</v>
      </c>
      <c r="M1101" s="3" t="s">
        <v>3206</v>
      </c>
      <c r="N1101" s="5">
        <f t="shared" si="17"/>
        <v>18</v>
      </c>
    </row>
    <row r="1102" spans="1:14" ht="14.4" x14ac:dyDescent="0.3">
      <c r="A1102" s="3" t="s">
        <v>3255</v>
      </c>
      <c r="B1102" s="3" t="s">
        <v>371</v>
      </c>
      <c r="C1102" s="3" t="s">
        <v>134</v>
      </c>
      <c r="D1102" s="3" t="s">
        <v>372</v>
      </c>
      <c r="E1102" s="3" t="s">
        <v>80</v>
      </c>
      <c r="F1102" s="3" t="s">
        <v>3256</v>
      </c>
      <c r="G1102" s="3">
        <v>104283</v>
      </c>
      <c r="H1102" s="7">
        <v>44701</v>
      </c>
      <c r="I1102" s="6">
        <v>170000</v>
      </c>
      <c r="J1102" s="6">
        <v>30600</v>
      </c>
      <c r="K1102" s="4">
        <v>39123922</v>
      </c>
      <c r="L1102" s="3"/>
      <c r="M1102" s="3" t="s">
        <v>597</v>
      </c>
      <c r="N1102" s="5">
        <f t="shared" si="17"/>
        <v>18</v>
      </c>
    </row>
    <row r="1103" spans="1:14" ht="14.4" x14ac:dyDescent="0.3">
      <c r="A1103" s="3" t="s">
        <v>3257</v>
      </c>
      <c r="B1103" s="3" t="s">
        <v>336</v>
      </c>
      <c r="C1103" s="3" t="s">
        <v>134</v>
      </c>
      <c r="D1103" s="3" t="s">
        <v>292</v>
      </c>
      <c r="E1103" s="3" t="s">
        <v>188</v>
      </c>
      <c r="F1103" s="3" t="s">
        <v>3258</v>
      </c>
      <c r="G1103" s="3">
        <v>394</v>
      </c>
      <c r="H1103" s="7">
        <v>44692</v>
      </c>
      <c r="I1103" s="6">
        <v>50050</v>
      </c>
      <c r="J1103" s="6">
        <v>9009</v>
      </c>
      <c r="K1103" s="4">
        <v>29333990</v>
      </c>
      <c r="L1103" s="3" t="s">
        <v>3259</v>
      </c>
      <c r="M1103" s="3" t="s">
        <v>3260</v>
      </c>
      <c r="N1103" s="5">
        <f t="shared" si="17"/>
        <v>18</v>
      </c>
    </row>
    <row r="1104" spans="1:14" ht="14.4" x14ac:dyDescent="0.3">
      <c r="A1104" s="3" t="s">
        <v>3261</v>
      </c>
      <c r="B1104" s="3" t="s">
        <v>1710</v>
      </c>
      <c r="C1104" s="3" t="s">
        <v>1711</v>
      </c>
      <c r="D1104" s="3" t="s">
        <v>292</v>
      </c>
      <c r="E1104" s="3" t="s">
        <v>1712</v>
      </c>
      <c r="F1104" s="3" t="s">
        <v>3262</v>
      </c>
      <c r="G1104" s="3" t="s">
        <v>4111</v>
      </c>
      <c r="H1104" s="7">
        <v>44685</v>
      </c>
      <c r="I1104" s="6">
        <v>256000</v>
      </c>
      <c r="J1104" s="6">
        <v>46080</v>
      </c>
      <c r="K1104" s="4">
        <v>29419090</v>
      </c>
      <c r="L1104" s="3" t="s">
        <v>3209</v>
      </c>
      <c r="M1104" s="3" t="s">
        <v>597</v>
      </c>
      <c r="N1104" s="5">
        <f t="shared" si="17"/>
        <v>18</v>
      </c>
    </row>
    <row r="1105" spans="9:10" x14ac:dyDescent="0.25">
      <c r="I1105" s="8">
        <f>SUM(I2:I1104)</f>
        <v>245362488.57000005</v>
      </c>
      <c r="J1105" s="8">
        <f>SUM(J1079:J1104)</f>
        <v>1636806.26</v>
      </c>
    </row>
  </sheetData>
  <autoFilter ref="A1:P1104" xr:uid="{F3029614-F9B4-4315-85E2-3CE61F4CF6B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merged_sheet_1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dcterms:modified xsi:type="dcterms:W3CDTF">2026-05-02T16:40:11Z</dcterms:modified>
  <cp:category/>
</cp:coreProperties>
</file>